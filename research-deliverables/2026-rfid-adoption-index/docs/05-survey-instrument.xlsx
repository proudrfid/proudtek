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Question Bank" sheetId="2" state="visible" r:id="rId4"/>
    <sheet name="Industry Blocks Map" sheetId="3" state="visible" r:id="rId5"/>
    <sheet name="Respondent DB" sheetId="4" state="visible" r:id="rId6"/>
    <sheet name="Raw Data" sheetId="5" state="visible" r:id="rId7"/>
    <sheet name="Analysis Cross-tabs" sheetId="6" state="visible" r:id="rId8"/>
    <sheet name="Dashboard" sheetId="7" state="visible" r:id="rId9"/>
    <sheet name="Methodology Meta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<sst xmlns="http://schemas.openxmlformats.org/spreadsheetml/2006/main" count="1312" uniqueCount="760">
  <si>
    <t xml:space="preserve">Proud Tek 2026 RFID Industry Adoption Index</t>
  </si>
  <si>
    <t xml:space="preserve">Survey Instrument workbook</t>
  </si>
  <si>
    <t xml:space="preserve">Pre-registered</t>
  </si>
  <si>
    <t xml:space="preserve">2026-05-11</t>
  </si>
  <si>
    <t xml:space="preserve">Version</t>
  </si>
  <si>
    <t xml:space="preserve">1.0</t>
  </si>
  <si>
    <t xml:space="preserve">Owner</t>
  </si>
  <si>
    <t xml:space="preserve">ProudTek Editorial Board / Peter Zhang</t>
  </si>
  <si>
    <t xml:space="preserve">Sheet</t>
  </si>
  <si>
    <t xml:space="preserve">Purpose</t>
  </si>
  <si>
    <t xml:space="preserve">README</t>
  </si>
  <si>
    <t xml:space="preserve">This sheet.</t>
  </si>
  <si>
    <t xml:space="preserve">Question Bank</t>
  </si>
  <si>
    <t xml:space="preserve">25 common-stem questions + 100 industry-specific questions (5 × 20 industries). Each row carries question text, type, scale/options, rationale, and which research question / hypothesis it addresses.</t>
  </si>
  <si>
    <t xml:space="preserve">Industry Blocks Map</t>
  </si>
  <si>
    <t xml:space="preserve">Which Q3 industry response triggers which 5-item industry block.</t>
  </si>
  <si>
    <t xml:space="preserve">Respondent DB</t>
  </si>
  <si>
    <t xml:space="preserve">Recruitment funnel tracker. 200 row slots, channel + status + dates. Formula columns at the top show live funnel counts.</t>
  </si>
  <si>
    <t xml:space="preserve">Raw Data</t>
  </si>
  <si>
    <t xml:space="preserve">Template with one row per respondent. Columns mirror QIDs. Column headers carry the QID. Drop survey-export CSV here.</t>
  </si>
  <si>
    <t xml:space="preserve">Analysis Cross-tabs</t>
  </si>
  <si>
    <t xml:space="preserve">Pre-registered cross-tabs. Each is a placeholder formula against Raw Data. Update Raw Data → cross-tabs refresh.</t>
  </si>
  <si>
    <t xml:space="preserve">Dashboard</t>
  </si>
  <si>
    <t xml:space="preserve">Top-line statistics. Adoption stage by industry, mandate progress, KPI lift expected-vs-realized, 2027 intent. Live formulas.</t>
  </si>
  <si>
    <t xml:space="preserve">Methodology Metadata</t>
  </si>
  <si>
    <t xml:space="preserve">Sample sizes, response rates, weighting target (IDC), exclusion rules, conflict-of-interest register.</t>
  </si>
  <si>
    <t xml:space="preserve">How to use this workbook</t>
  </si>
  <si>
    <t xml:space="preserve">1.</t>
  </si>
  <si>
    <t xml:space="preserve">Recruitment team uses Respondent DB to track every outreach attempt. Formulas roll up daily into the funnel counters at the top of the sheet.</t>
  </si>
  <si>
    <t xml:space="preserve">2.</t>
  </si>
  <si>
    <t xml:space="preserve">Field operations exports the Qualtrics CSV at fieldwork close and pastes into Raw Data, preserving the QID column order.</t>
  </si>
  <si>
    <t xml:space="preserve">3.</t>
  </si>
  <si>
    <t xml:space="preserve">Analysis Cross-tabs and Dashboard auto-refresh against Raw Data. Pre-registered analyses (RQ1–RQ5) are labeled; exploratory analyses are clearly labeled separately.</t>
  </si>
  <si>
    <t xml:space="preserve">4.</t>
  </si>
  <si>
    <t xml:space="preserve">Methodology Metadata is updated as response rates land. Final values are copied into the report methodology appendix.</t>
  </si>
  <si>
    <t xml:space="preserve">QID</t>
  </si>
  <si>
    <t xml:space="preserve">Section</t>
  </si>
  <si>
    <t xml:space="preserve">Question</t>
  </si>
  <si>
    <t xml:space="preserve">Type</t>
  </si>
  <si>
    <t xml:space="preserve">Scale / options</t>
  </si>
  <si>
    <t xml:space="preserve">Rationale</t>
  </si>
  <si>
    <t xml:space="preserve">Maps to</t>
  </si>
  <si>
    <t xml:space="preserve">Q1</t>
  </si>
  <si>
    <t xml:space="preserve">Screening</t>
  </si>
  <si>
    <t xml:space="preserve">What industry best describes your organization?</t>
  </si>
  <si>
    <t xml:space="preserve">Single-choice</t>
  </si>
  <si>
    <t xml:space="preserve">20 industries (one of)</t>
  </si>
  <si>
    <t xml:space="preserve">Industry stratification + branching to industry-specific block.</t>
  </si>
  <si>
    <t xml:space="preserve">RQ1, RQ2, RQ3, RQ4, RQ5</t>
  </si>
  <si>
    <t xml:space="preserve">Q2</t>
  </si>
  <si>
    <t xml:space="preserve">Which role describes you best?</t>
  </si>
  <si>
    <t xml:space="preserve">Procurement / IT / Operations / Supply chain / Compliance / Other</t>
  </si>
  <si>
    <t xml:space="preserve">Role band for analysis weighting.</t>
  </si>
  <si>
    <t xml:space="preserve">Secondary</t>
  </si>
  <si>
    <t xml:space="preserve">Q3</t>
  </si>
  <si>
    <t xml:space="preserve">What is your organization's annual revenue band?</t>
  </si>
  <si>
    <t xml:space="preserve">&lt;$10M / $10–50M / $50–250M / $250M–1B / &gt;$1B</t>
  </si>
  <si>
    <t xml:space="preserve">Organization-size weighting cell.</t>
  </si>
  <si>
    <t xml:space="preserve">All</t>
  </si>
  <si>
    <t xml:space="preserve">Q4</t>
  </si>
  <si>
    <t xml:space="preserve">Adoption maturity</t>
  </si>
  <si>
    <t xml:space="preserve">What stage best describes your organization's RFID/NFC deployment?</t>
  </si>
  <si>
    <t xml:space="preserve">No RFID / Piloting / Partial production / Full production</t>
  </si>
  <si>
    <t xml:space="preserve">Primary RQ1 outcome.</t>
  </si>
  <si>
    <t xml:space="preserve">RQ1, RQ5</t>
  </si>
  <si>
    <t xml:space="preserve">Q5</t>
  </si>
  <si>
    <t xml:space="preserve">In what year did you first deploy RFID/NFC in production?</t>
  </si>
  <si>
    <t xml:space="preserve">Numeric</t>
  </si>
  <si>
    <t xml:space="preserve">Year 2000–2026 or 'not yet'</t>
  </si>
  <si>
    <t xml:space="preserve">Tenure-of-deployment cross-tab.</t>
  </si>
  <si>
    <t xml:space="preserve">RQ1</t>
  </si>
  <si>
    <t xml:space="preserve">Q6</t>
  </si>
  <si>
    <t xml:space="preserve">What is the scope of your deployment?</t>
  </si>
  <si>
    <t xml:space="preserve">Multi-select</t>
  </si>
  <si>
    <t xml:space="preserve">Item-level / Case / Pallet / Asset tracking / Access control / Customer engagement / Other</t>
  </si>
  <si>
    <t xml:space="preserve">Scope breadth.</t>
  </si>
  <si>
    <t xml:space="preserve">RQ1, RQ4</t>
  </si>
  <si>
    <t xml:space="preserve">Q7</t>
  </si>
  <si>
    <t xml:space="preserve">Which frequency band(s) do you use?</t>
  </si>
  <si>
    <t xml:space="preserve">LF (125 kHz) / HF (13.56 MHz) / NFC / UHF (860–960 MHz)</t>
  </si>
  <si>
    <t xml:space="preserve">Frequency mix per industry.</t>
  </si>
  <si>
    <t xml:space="preserve">Q8</t>
  </si>
  <si>
    <t xml:space="preserve">Spend</t>
  </si>
  <si>
    <t xml:space="preserve">Approximate total RFID/NFC tag spend in the last 12 months?</t>
  </si>
  <si>
    <t xml:space="preserve">&lt;$10K / $10–100K / $100K–500K / $500K–2M / &gt;$2M</t>
  </si>
  <si>
    <t xml:space="preserve">Spend bands.</t>
  </si>
  <si>
    <t xml:space="preserve">Q9</t>
  </si>
  <si>
    <t xml:space="preserve">Projected RFID/NFC tag spend in the next 12 months?</t>
  </si>
  <si>
    <t xml:space="preserve">Same bands as Q8 + Don't know</t>
  </si>
  <si>
    <t xml:space="preserve">Forward-looking spend signal.</t>
  </si>
  <si>
    <t xml:space="preserve">RQ5</t>
  </si>
  <si>
    <t xml:space="preserve">Q10</t>
  </si>
  <si>
    <t xml:space="preserve">What is your primary RFID hardware supplier (tags/labels/cards)?</t>
  </si>
  <si>
    <t xml:space="preserve">Open-text</t>
  </si>
  <si>
    <t xml:space="preserve">Free text, normalized in cleaning</t>
  </si>
  <si>
    <t xml:space="preserve">Vendor consolidation analysis.</t>
  </si>
  <si>
    <t xml:space="preserve">RQ4</t>
  </si>
  <si>
    <t xml:space="preserve">Q11</t>
  </si>
  <si>
    <t xml:space="preserve">How many distinct hardware vendors are in your RFID footprint?</t>
  </si>
  <si>
    <t xml:space="preserve">1 / 2 / 3 / 4 / 5+</t>
  </si>
  <si>
    <t xml:space="preserve">Vendor consolidation level.</t>
  </si>
  <si>
    <t xml:space="preserve">Q12</t>
  </si>
  <si>
    <t xml:space="preserve">Mandate</t>
  </si>
  <si>
    <t xml:space="preserve">Which RFID-relevant mandates apply to your organization? (Select all that apply.)</t>
  </si>
  <si>
    <t xml:space="preserve">Walmart / Target / Macy's / DSCSA / EU DPP / EU Battery / FSMA 204 / EUDR / IATA 753 / MIL-STD-129R / ATA Spec 2000 / Animal-ID ISO 11784/11785 / None</t>
  </si>
  <si>
    <t xml:space="preserve">Mandate exposure.</t>
  </si>
  <si>
    <t xml:space="preserve">RQ2</t>
  </si>
  <si>
    <t xml:space="preserve">Q13</t>
  </si>
  <si>
    <t xml:space="preserve">For each applicable mandate, what is your status?</t>
  </si>
  <si>
    <t xml:space="preserve">Matrix-Likert</t>
  </si>
  <si>
    <t xml:space="preserve">On-track / At-risk / In-violation per mandate selected in Q12</t>
  </si>
  <si>
    <t xml:space="preserve">Primary RQ2 outcome.</t>
  </si>
  <si>
    <t xml:space="preserve">Q14</t>
  </si>
  <si>
    <t xml:space="preserve">KPI lift — expected</t>
  </si>
  <si>
    <t xml:space="preserve">Before deployment, what KPI lift did you EXPECT?</t>
  </si>
  <si>
    <t xml:space="preserve">Matrix-Numeric</t>
  </si>
  <si>
    <t xml:space="preserve">Inventory accuracy +%, BOPIS +%, Shrink -%, Labor -%, Fines -%, CSAT +%</t>
  </si>
  <si>
    <t xml:space="preserve">Expected KPI baselines (pre-deployment).</t>
  </si>
  <si>
    <t xml:space="preserve">RQ3, H5</t>
  </si>
  <si>
    <t xml:space="preserve">Q15</t>
  </si>
  <si>
    <t xml:space="preserve">KPI lift — realized</t>
  </si>
  <si>
    <t xml:space="preserve">Post-deployment, what KPI lift have you REALIZED?</t>
  </si>
  <si>
    <t xml:space="preserve">Same as Q14</t>
  </si>
  <si>
    <t xml:space="preserve">Primary RQ3 outcome.</t>
  </si>
  <si>
    <t xml:space="preserve">Q16</t>
  </si>
  <si>
    <t xml:space="preserve">KPI lift — confidence</t>
  </si>
  <si>
    <t xml:space="preserve">How confident are you in the realized lift estimates above?</t>
  </si>
  <si>
    <t xml:space="preserve">Likert-7</t>
  </si>
  <si>
    <t xml:space="preserve">1 = no measurement, 7 = continuously measured</t>
  </si>
  <si>
    <t xml:space="preserve">Quality control on realized lift.</t>
  </si>
  <si>
    <t xml:space="preserve">RQ3 quality</t>
  </si>
  <si>
    <t xml:space="preserve">Q17</t>
  </si>
  <si>
    <t xml:space="preserve">KPI lift — measurement</t>
  </si>
  <si>
    <t xml:space="preserve">Which KPI lift do you measure routinely (monthly or more often)?</t>
  </si>
  <si>
    <t xml:space="preserve">Same KPIs as Q14</t>
  </si>
  <si>
    <t xml:space="preserve">Measurement maturity.</t>
  </si>
  <si>
    <t xml:space="preserve">Q18</t>
  </si>
  <si>
    <t xml:space="preserve">Attention check</t>
  </si>
  <si>
    <t xml:space="preserve">To confirm you're reading carefully, please select 'Strongly disagree'.</t>
  </si>
  <si>
    <t xml:space="preserve">Attention check 1.</t>
  </si>
  <si>
    <t xml:space="preserve">Quality</t>
  </si>
  <si>
    <t xml:space="preserve">Q19</t>
  </si>
  <si>
    <t xml:space="preserve">Vendor criteria</t>
  </si>
  <si>
    <t xml:space="preserve">Rank these vendor selection criteria, most important first.</t>
  </si>
  <si>
    <t xml:space="preserve">Ranked-choice</t>
  </si>
  <si>
    <t xml:space="preserve">Price / Compliance documentation / Lead time / Customization / RFID Lab certification / Sustainability / Country of origin / Single-source coverage</t>
  </si>
  <si>
    <t xml:space="preserve">Primary RQ4 outcome (Plackett-Luce).</t>
  </si>
  <si>
    <t xml:space="preserve">Q20</t>
  </si>
  <si>
    <t xml:space="preserve">What would change your vendor preference?</t>
  </si>
  <si>
    <t xml:space="preserve">Free text, 500 char cap</t>
  </si>
  <si>
    <t xml:space="preserve">Qualitative RQ4.</t>
  </si>
  <si>
    <t xml:space="preserve">Q21</t>
  </si>
  <si>
    <t xml:space="preserve">Which of the following frequency bands is NOT used for RFID?</t>
  </si>
  <si>
    <t xml:space="preserve">LF / HF / UHF / VLF (correct = VLF)</t>
  </si>
  <si>
    <t xml:space="preserve">Attention check 2.</t>
  </si>
  <si>
    <t xml:space="preserve">Q22</t>
  </si>
  <si>
    <t xml:space="preserve">2027 intent</t>
  </si>
  <si>
    <t xml:space="preserve">In the next 12 months, your RFID/NFC deployment will...</t>
  </si>
  <si>
    <t xml:space="preserve">Expand significantly / Expand modestly / Hold / Roll back modestly / Roll back significantly</t>
  </si>
  <si>
    <t xml:space="preserve">Primary RQ5 outcome.</t>
  </si>
  <si>
    <t xml:space="preserve">Q23</t>
  </si>
  <si>
    <t xml:space="preserve">Approximate 2027 budget direction vs 2026.</t>
  </si>
  <si>
    <t xml:space="preserve">+&gt;25% / +10–25% / +0–10% / Flat / -0–10% / -10–25% / -&gt;25% / Don't know</t>
  </si>
  <si>
    <t xml:space="preserve">Budget signal.</t>
  </si>
  <si>
    <t xml:space="preserve">Q24</t>
  </si>
  <si>
    <t xml:space="preserve">What is the dominant driver of your 2027 expansion / hold / roll-back?</t>
  </si>
  <si>
    <t xml:space="preserve">Mandate compliance / Cost reduction / Customer experience / Compliance fatigue / Tech maturity / Vendor instability / Other (open)</t>
  </si>
  <si>
    <t xml:space="preserve">Driver analysis.</t>
  </si>
  <si>
    <t xml:space="preserve">Q25</t>
  </si>
  <si>
    <t xml:space="preserve">Open</t>
  </si>
  <si>
    <t xml:space="preserve">What is the single biggest barrier to RFID expansion in your organization right now?</t>
  </si>
  <si>
    <t xml:space="preserve">Themes for qualitative analysis.</t>
  </si>
  <si>
    <t xml:space="preserve">--- Industry-specific blocks (triggered by Q1) ---</t>
  </si>
  <si>
    <t xml:space="preserve">RETAIL &amp; APPAREL</t>
  </si>
  <si>
    <t xml:space="preserve">RA1</t>
  </si>
  <si>
    <t xml:space="preserve">Industry block — Retail &amp; Apparel</t>
  </si>
  <si>
    <t xml:space="preserve">Which retailer mandates does your organization currently comply with?</t>
  </si>
  <si>
    <t xml:space="preserve">Walmart T1 / T2 / T3 / Target SUPPLIERS / Macy's / Nordstrom / Inditex / H&amp;M / Lululemon / Decathlon / None</t>
  </si>
  <si>
    <t xml:space="preserve">Tier-specific mandate mapping.</t>
  </si>
  <si>
    <t xml:space="preserve">Industry-specific</t>
  </si>
  <si>
    <t xml:space="preserve">RA2</t>
  </si>
  <si>
    <t xml:space="preserve">Are your inlays Auburn ARC certified?</t>
  </si>
  <si>
    <t xml:space="preserve">Yes — A/B/C/M/T/U/W/X / No / Don't know</t>
  </si>
  <si>
    <t xml:space="preserve">Auburn ARC awareness + status.</t>
  </si>
  <si>
    <t xml:space="preserve">RA3</t>
  </si>
  <si>
    <t xml:space="preserve">Where is source-tagging applied?</t>
  </si>
  <si>
    <t xml:space="preserve">Factory / DC retrofit / Mix / Not yet source-tagging</t>
  </si>
  <si>
    <t xml:space="preserve">Source-tag vs retrofit split.</t>
  </si>
  <si>
    <t xml:space="preserve">RA4</t>
  </si>
  <si>
    <t xml:space="preserve">Post-deployment, your BOPIS fulfilment lift was...</t>
  </si>
  <si>
    <t xml:space="preserve">% from baseline</t>
  </si>
  <si>
    <t xml:space="preserve">BOPIS lift specific to retail.</t>
  </si>
  <si>
    <t xml:space="preserve">RA5</t>
  </si>
  <si>
    <t xml:space="preserve">Form-factor mix in your apparel deployment?</t>
  </si>
  <si>
    <t xml:space="preserve">Allocation 100%</t>
  </si>
  <si>
    <t xml:space="preserve">Hang tag / Woven label / Printable label / Other</t>
  </si>
  <si>
    <t xml:space="preserve">Apparel form-factor distribution.</t>
  </si>
  <si>
    <t xml:space="preserve">HOSPITALITY</t>
  </si>
  <si>
    <t xml:space="preserve">HO1</t>
  </si>
  <si>
    <t xml:space="preserve">Industry block — Hospitality</t>
  </si>
  <si>
    <t xml:space="preserve">Which physical-access vendor's locks do you operate?</t>
  </si>
  <si>
    <t xml:space="preserve">Saflok / VingCard / Salto / dormakaba / Onity / Mix / Other</t>
  </si>
  <si>
    <t xml:space="preserve">Lock-vendor distribution.</t>
  </si>
  <si>
    <t xml:space="preserve">HO2</t>
  </si>
  <si>
    <t xml:space="preserve">DESFire EV3 migration status?</t>
  </si>
  <si>
    <t xml:space="preserve">Not started / Pilot / Partial / Fully migrated / N/A (Classic only)</t>
  </si>
  <si>
    <t xml:space="preserve">DESFire migration.</t>
  </si>
  <si>
    <t xml:space="preserve">HO3</t>
  </si>
  <si>
    <t xml:space="preserve">NFC cashless adoption in property?</t>
  </si>
  <si>
    <t xml:space="preserve">None / Pilot / Partial / Full</t>
  </si>
  <si>
    <t xml:space="preserve">Cashless deployment.</t>
  </si>
  <si>
    <t xml:space="preserve">HO4</t>
  </si>
  <si>
    <t xml:space="preserve">Linen / textile RFID deployment status?</t>
  </si>
  <si>
    <t xml:space="preserve">Linen tracking.</t>
  </si>
  <si>
    <t xml:space="preserve">HO5</t>
  </si>
  <si>
    <t xml:space="preserve">Have you migrated from magnetic-stripe to MIFARE-based keys?</t>
  </si>
  <si>
    <t xml:space="preserve">Fully migrated / In progress / Not started / N/A</t>
  </si>
  <si>
    <t xml:space="preserve">Magstripe sunset.</t>
  </si>
  <si>
    <t xml:space="preserve">HEALTHCARE</t>
  </si>
  <si>
    <t xml:space="preserve">HC1</t>
  </si>
  <si>
    <t xml:space="preserve">Industry block — Healthcare</t>
  </si>
  <si>
    <t xml:space="preserve">Which clinical workflow uses RFID/NFC?</t>
  </si>
  <si>
    <t xml:space="preserve">Patient ID wristbands / Specimen tracking / Blood-bag tracking / Surgical-instrument tagging / Medication / Asset tracking / Access control / None</t>
  </si>
  <si>
    <t xml:space="preserve">Workflow coverage.</t>
  </si>
  <si>
    <t xml:space="preserve">HC2</t>
  </si>
  <si>
    <t xml:space="preserve">Are your patient wristbands HF (ISO 14443/15693) or UHF?</t>
  </si>
  <si>
    <t xml:space="preserve">HF / UHF / Both / Don't know / N/A</t>
  </si>
  <si>
    <t xml:space="preserve">Frequency for patient ID.</t>
  </si>
  <si>
    <t xml:space="preserve">HC3</t>
  </si>
  <si>
    <t xml:space="preserve">HIPAA / FDA 21 CFR Part 11 audit-trail readiness for RFID-touched workflows?</t>
  </si>
  <si>
    <t xml:space="preserve">Likert-5</t>
  </si>
  <si>
    <t xml:space="preserve">1 = none, 5 = audit-ready</t>
  </si>
  <si>
    <t xml:space="preserve">Compliance readiness.</t>
  </si>
  <si>
    <t xml:space="preserve">HC4</t>
  </si>
  <si>
    <t xml:space="preserve">Surgical-instrument reprocessing — RFID tracking deployed?</t>
  </si>
  <si>
    <t xml:space="preserve">Yes — fully / Yes — partial / No, considering / No</t>
  </si>
  <si>
    <t xml:space="preserve">Surgical reprocessing.</t>
  </si>
  <si>
    <t xml:space="preserve">HC5</t>
  </si>
  <si>
    <t xml:space="preserve">Are you using DSCSA-compliant carriers for in-pharmacy unit dispensing?</t>
  </si>
  <si>
    <t xml:space="preserve">Yes — RFID / Yes — barcode / Both / No / N/A</t>
  </si>
  <si>
    <t xml:space="preserve">DSCSA at dispense.</t>
  </si>
  <si>
    <t xml:space="preserve">EVENTS &amp; VENUES</t>
  </si>
  <si>
    <t xml:space="preserve">EV1</t>
  </si>
  <si>
    <t xml:space="preserve">Industry block — Events &amp; Venues</t>
  </si>
  <si>
    <t xml:space="preserve">Type of venue.</t>
  </si>
  <si>
    <t xml:space="preserve">Festival / Stadium / Arena / Theme park / Conference / Convention center / Casino / Other</t>
  </si>
  <si>
    <t xml:space="preserve">Venue type.</t>
  </si>
  <si>
    <t xml:space="preserve">EV2</t>
  </si>
  <si>
    <t xml:space="preserve">Cashless wristband / token spend as % of total venue spend?</t>
  </si>
  <si>
    <t xml:space="preserve">0% / 1–25% / 26–50% / 51–75% / 76–100%</t>
  </si>
  <si>
    <t xml:space="preserve">Cashless penetration.</t>
  </si>
  <si>
    <t xml:space="preserve">EV3</t>
  </si>
  <si>
    <t xml:space="preserve">Average per-capita spend lift on cashless vs cash?</t>
  </si>
  <si>
    <t xml:space="preserve">0% / 1–10% / 11–20% / 21–30% / &gt;30% / Don't measure</t>
  </si>
  <si>
    <t xml:space="preserve">Spend-lift measurement.</t>
  </si>
  <si>
    <t xml:space="preserve">EV4</t>
  </si>
  <si>
    <t xml:space="preserve">Wristband technology used.</t>
  </si>
  <si>
    <t xml:space="preserve">HF / UHF / Dual / NFC / None — paper</t>
  </si>
  <si>
    <t xml:space="preserve">Technology mix.</t>
  </si>
  <si>
    <t xml:space="preserve">EV5</t>
  </si>
  <si>
    <t xml:space="preserve">Integration with ticketing platform?</t>
  </si>
  <si>
    <t xml:space="preserve">Tappit / Connect&amp;GO / Intellitix / Patron / Custom / None</t>
  </si>
  <si>
    <t xml:space="preserve">Platform vendor.</t>
  </si>
  <si>
    <t xml:space="preserve">LOGISTICS</t>
  </si>
  <si>
    <t xml:space="preserve">LO1</t>
  </si>
  <si>
    <t xml:space="preserve">Industry block — Logistics</t>
  </si>
  <si>
    <t xml:space="preserve">What is your primary RFID use case?</t>
  </si>
  <si>
    <t xml:space="preserve">Pallet / Case / Returnable transport items / Yard mgmt / Trailer-loading verification / Baggage (IATA 753) / Other</t>
  </si>
  <si>
    <t xml:space="preserve">Use-case mix.</t>
  </si>
  <si>
    <t xml:space="preserve">LO2</t>
  </si>
  <si>
    <t xml:space="preserve">Read-portal coverage at receiving?</t>
  </si>
  <si>
    <t xml:space="preserve">1 = none, 5 = every dock door</t>
  </si>
  <si>
    <t xml:space="preserve">Portal density.</t>
  </si>
  <si>
    <t xml:space="preserve">LO3</t>
  </si>
  <si>
    <t xml:space="preserve">GS1 EPCIS event streaming to trading partners?</t>
  </si>
  <si>
    <t xml:space="preserve">Yes — bidirectional / Yes — outbound only / No / Don't know</t>
  </si>
  <si>
    <t xml:space="preserve">EPCIS maturity.</t>
  </si>
  <si>
    <t xml:space="preserve">LO4</t>
  </si>
  <si>
    <t xml:space="preserve">IATA Resolution 753 status (airline only).</t>
  </si>
  <si>
    <t xml:space="preserve">Compliant / In progress / Not applicable / Don't know</t>
  </si>
  <si>
    <t xml:space="preserve">IATA 753 status.</t>
  </si>
  <si>
    <t xml:space="preserve">LO5</t>
  </si>
  <si>
    <t xml:space="preserve">RTI fleet size with active RFID?</t>
  </si>
  <si>
    <t xml:space="preserve">Number of items</t>
  </si>
  <si>
    <t xml:space="preserve">RTI footprint.</t>
  </si>
  <si>
    <t xml:space="preserve">INDUSTRIAL</t>
  </si>
  <si>
    <t xml:space="preserve">IN1</t>
  </si>
  <si>
    <t xml:space="preserve">Industry block — Industrial</t>
  </si>
  <si>
    <t xml:space="preserve">Main industrial use case.</t>
  </si>
  <si>
    <t xml:space="preserve">WIP tracking / Tool control / Asset tracking / Operator login / Quality / Maintenance / Other</t>
  </si>
  <si>
    <t xml:space="preserve">IN2</t>
  </si>
  <si>
    <t xml:space="preserve">Use of on-metal anti-metal tags?</t>
  </si>
  <si>
    <t xml:space="preserve">Yes — many / Yes — some / No / Don't know</t>
  </si>
  <si>
    <t xml:space="preserve">On-metal deployment.</t>
  </si>
  <si>
    <t xml:space="preserve">IN3</t>
  </si>
  <si>
    <t xml:space="preserve">MES integration?</t>
  </si>
  <si>
    <t xml:space="preserve">Yes — bidirectional / Yes — read-only / No / N/A</t>
  </si>
  <si>
    <t xml:space="preserve">MES integration.</t>
  </si>
  <si>
    <t xml:space="preserve">IN4</t>
  </si>
  <si>
    <t xml:space="preserve">IATF 16949 audit-trail readiness for RFID-touched processes?</t>
  </si>
  <si>
    <t xml:space="preserve">IATF 16949.</t>
  </si>
  <si>
    <t xml:space="preserve">IN5</t>
  </si>
  <si>
    <t xml:space="preserve">ATEX-rated RFID hardware deployed (hazardous areas)?</t>
  </si>
  <si>
    <t xml:space="preserve">Yes / No / N/A</t>
  </si>
  <si>
    <t xml:space="preserve">ATEX.</t>
  </si>
  <si>
    <t xml:space="preserve">LIBRARIES</t>
  </si>
  <si>
    <t xml:space="preserve">LI1</t>
  </si>
  <si>
    <t xml:space="preserve">Industry block — Libraries</t>
  </si>
  <si>
    <t xml:space="preserve">Library type.</t>
  </si>
  <si>
    <t xml:space="preserve">Public / Academic / Special / School / Mix</t>
  </si>
  <si>
    <t xml:space="preserve">Library segment.</t>
  </si>
  <si>
    <t xml:space="preserve">LI2</t>
  </si>
  <si>
    <t xml:space="preserve">ILS in use.</t>
  </si>
  <si>
    <t xml:space="preserve">Ex Libris Alma / Innovative Sierra / Koha / Evergreen / SirsiDynix / OCLC / Other</t>
  </si>
  <si>
    <t xml:space="preserve">ILS distribution.</t>
  </si>
  <si>
    <t xml:space="preserve">LI3</t>
  </si>
  <si>
    <t xml:space="preserve">ISO 28560 data model adopted.</t>
  </si>
  <si>
    <t xml:space="preserve">ISO 28560-2 / ISO 28560-3 / Don't know / N/A</t>
  </si>
  <si>
    <t xml:space="preserve">Data-model adoption.</t>
  </si>
  <si>
    <t xml:space="preserve">LI4</t>
  </si>
  <si>
    <t xml:space="preserve">Patron-card technology.</t>
  </si>
  <si>
    <t xml:space="preserve">MIFARE DESFire / MIFARE Classic / Other HF / Barcode only / Mix</t>
  </si>
  <si>
    <t xml:space="preserve">Patron-card mix.</t>
  </si>
  <si>
    <t xml:space="preserve">LI5</t>
  </si>
  <si>
    <t xml:space="preserve">Self-checkout penetration?</t>
  </si>
  <si>
    <t xml:space="preserve">&lt;25% / 25–50% / 51–75% / 76–100% / N/A</t>
  </si>
  <si>
    <t xml:space="preserve">Self-service usage.</t>
  </si>
  <si>
    <t xml:space="preserve">LAUNDRY SERVICES</t>
  </si>
  <si>
    <t xml:space="preserve">LA1</t>
  </si>
  <si>
    <t xml:space="preserve">Industry block — Laundry Services</t>
  </si>
  <si>
    <t xml:space="preserve">Plant type.</t>
  </si>
  <si>
    <t xml:space="preserve">Industrial commercial / Healthcare linen / Uniform rental / Hospitality contract / Other</t>
  </si>
  <si>
    <t xml:space="preserve">Plant segment.</t>
  </si>
  <si>
    <t xml:space="preserve">LA2</t>
  </si>
  <si>
    <t xml:space="preserve">Tag form factor.</t>
  </si>
  <si>
    <t xml:space="preserve">PPS button / Silicone / Textile heat-seal / Other</t>
  </si>
  <si>
    <t xml:space="preserve">Form-factor mix.</t>
  </si>
  <si>
    <t xml:space="preserve">LA3</t>
  </si>
  <si>
    <t xml:space="preserve">Pieces per day processed.</t>
  </si>
  <si>
    <t xml:space="preserve">&lt;5K / 5–10K / 10–25K / 25–50K / &gt;50K</t>
  </si>
  <si>
    <t xml:space="preserve">Plant scale.</t>
  </si>
  <si>
    <t xml:space="preserve">LA4</t>
  </si>
  <si>
    <t xml:space="preserve">Average wash-cycle survival of current tags?</t>
  </si>
  <si>
    <t xml:space="preserve">Cycles (e.g. 200)</t>
  </si>
  <si>
    <t xml:space="preserve">Cycle life.</t>
  </si>
  <si>
    <t xml:space="preserve">LA5</t>
  </si>
  <si>
    <t xml:space="preserve">Tunnel-reader vs handheld read coverage?</t>
  </si>
  <si>
    <t xml:space="preserve">Tunnel-only / Mostly tunnel / Mix / Handheld-only / N/A</t>
  </si>
  <si>
    <t xml:space="preserve">Read infrastructure.</t>
  </si>
  <si>
    <t xml:space="preserve">PHARMACEUTICAL</t>
  </si>
  <si>
    <t xml:space="preserve">PH1</t>
  </si>
  <si>
    <t xml:space="preserve">Industry block — Pharmaceutical</t>
  </si>
  <si>
    <t xml:space="preserve">Your role in the pharma supply chain.</t>
  </si>
  <si>
    <t xml:space="preserve">Mfg / Repackager / Wholesaler / Pharmacy / 3PL / Other</t>
  </si>
  <si>
    <t xml:space="preserve">Supply-chain role.</t>
  </si>
  <si>
    <t xml:space="preserve">PH2</t>
  </si>
  <si>
    <t xml:space="preserve">DSCSA stabilization-period stance.</t>
  </si>
  <si>
    <t xml:space="preserve">Fully implementing / Phased in / Delayed / Not applicable</t>
  </si>
  <si>
    <t xml:space="preserve">DSCSA stance.</t>
  </si>
  <si>
    <t xml:space="preserve">PH3</t>
  </si>
  <si>
    <t xml:space="preserve">GS1 SGTIN-198 vs GTIN at unit-of-sale.</t>
  </si>
  <si>
    <t xml:space="preserve">SGTIN-198 / GTIN only / Both / Don't know</t>
  </si>
  <si>
    <t xml:space="preserve">Encoding choice.</t>
  </si>
  <si>
    <t xml:space="preserve">PH4</t>
  </si>
  <si>
    <t xml:space="preserve">Cold-chain temperature-logger spend annual?</t>
  </si>
  <si>
    <t xml:space="preserve">&lt;$50K / $50K–250K / $250K–1M / &gt;$1M / N/A</t>
  </si>
  <si>
    <t xml:space="preserve">Cold-chain spend.</t>
  </si>
  <si>
    <t xml:space="preserve">PH5</t>
  </si>
  <si>
    <t xml:space="preserve">EU FMD coexistence with US DSCSA?</t>
  </si>
  <si>
    <t xml:space="preserve">Yes — separate / Yes — unified / N/A (US only) / N/A (EU only)</t>
  </si>
  <si>
    <t xml:space="preserve">Trans-Atlantic compliance.</t>
  </si>
  <si>
    <t xml:space="preserve">LUXURY BRANDS</t>
  </si>
  <si>
    <t xml:space="preserve">LU1</t>
  </si>
  <si>
    <t xml:space="preserve">Industry block — Luxury Brands</t>
  </si>
  <si>
    <t xml:space="preserve">Product category.</t>
  </si>
  <si>
    <t xml:space="preserve">Handbags / Watches / Sneakers / Apparel / Cosmetics / Wine &amp; spirits / Jewelry / Other</t>
  </si>
  <si>
    <t xml:space="preserve">Category mix.</t>
  </si>
  <si>
    <t xml:space="preserve">LU2</t>
  </si>
  <si>
    <t xml:space="preserve">Tap-to-verify NFC chip used.</t>
  </si>
  <si>
    <t xml:space="preserve">NTAG424 DNA / NTAG413 / NTAG21x / Other / Not yet deployed</t>
  </si>
  <si>
    <t xml:space="preserve">Chip family.</t>
  </si>
  <si>
    <t xml:space="preserve">LU3</t>
  </si>
  <si>
    <t xml:space="preserve">Aura Blockchain Consortium membership?</t>
  </si>
  <si>
    <t xml:space="preserve">Member / Considering / Not relevant</t>
  </si>
  <si>
    <t xml:space="preserve">Aura adoption.</t>
  </si>
  <si>
    <t xml:space="preserve">LU4</t>
  </si>
  <si>
    <t xml:space="preserve">EU Digital Product Passport readiness (textiles)?</t>
  </si>
  <si>
    <t xml:space="preserve">1 = not started, 5 = ready</t>
  </si>
  <si>
    <t xml:space="preserve">DPP readiness.</t>
  </si>
  <si>
    <t xml:space="preserve">LU5</t>
  </si>
  <si>
    <t xml:space="preserve">% of SKUs tap-verifiable today?</t>
  </si>
  <si>
    <t xml:space="preserve">Tap coverage.</t>
  </si>
  <si>
    <t xml:space="preserve">BRAND PROTECTION</t>
  </si>
  <si>
    <t xml:space="preserve">BP1</t>
  </si>
  <si>
    <t xml:space="preserve">Industry block — Brand Protection</t>
  </si>
  <si>
    <t xml:space="preserve">Counterfeit-driven revenue loss estimate (annual)?</t>
  </si>
  <si>
    <t xml:space="preserve">&lt;$100K / $100K–1M / $1M–10M / &gt;$10M / Don't measure</t>
  </si>
  <si>
    <t xml:space="preserve">Counterfeit exposure.</t>
  </si>
  <si>
    <t xml:space="preserve">BP2</t>
  </si>
  <si>
    <t xml:space="preserve">NFC tap-to-verify program active?</t>
  </si>
  <si>
    <t xml:space="preserve">Yes — full / Yes — partial / Considering / No</t>
  </si>
  <si>
    <t xml:space="preserve">Program status.</t>
  </si>
  <si>
    <t xml:space="preserve">BP3</t>
  </si>
  <si>
    <t xml:space="preserve">Tamper-evident seal technology.</t>
  </si>
  <si>
    <t xml:space="preserve">NTAG424 DNA / NTAG21x destructive / Optical / Other</t>
  </si>
  <si>
    <t xml:space="preserve">Seal tech mix.</t>
  </si>
  <si>
    <t xml:space="preserve">BP4</t>
  </si>
  <si>
    <t xml:space="preserve">Consumer tap rate (% of products tapped at least once)?</t>
  </si>
  <si>
    <t xml:space="preserve">&lt;5% / 5–15% / 15–30% / 30–50% / &gt;50% / Don't measure</t>
  </si>
  <si>
    <t xml:space="preserve">Tap engagement.</t>
  </si>
  <si>
    <t xml:space="preserve">BP5</t>
  </si>
  <si>
    <t xml:space="preserve">Grey-market detection capability via tag data?</t>
  </si>
  <si>
    <t xml:space="preserve">1 = none, 5 = real-time</t>
  </si>
  <si>
    <t xml:space="preserve">Grey-market detection.</t>
  </si>
  <si>
    <t xml:space="preserve">EDUCATION</t>
  </si>
  <si>
    <t xml:space="preserve">ED1</t>
  </si>
  <si>
    <t xml:space="preserve">Industry block — Education</t>
  </si>
  <si>
    <t xml:space="preserve">Institution type.</t>
  </si>
  <si>
    <t xml:space="preserve">K-12 district / Higher-ed / Community college / Other</t>
  </si>
  <si>
    <t xml:space="preserve">Segment.</t>
  </si>
  <si>
    <t xml:space="preserve">ED2</t>
  </si>
  <si>
    <t xml:space="preserve">Student credential technology.</t>
  </si>
  <si>
    <t xml:space="preserve">MIFARE DESFire / MIFARE Classic / Other HF / Magstripe / Other</t>
  </si>
  <si>
    <t xml:space="preserve">Credential mix.</t>
  </si>
  <si>
    <t xml:space="preserve">ED3</t>
  </si>
  <si>
    <t xml:space="preserve">Campus card platform.</t>
  </si>
  <si>
    <t xml:space="preserve">CBORD / Atrium / Transact / Blackboard / Other / In-house</t>
  </si>
  <si>
    <t xml:space="preserve">ED4</t>
  </si>
  <si>
    <t xml:space="preserve">FERPA-compliance audit-trail readiness for credential-touched workflows?</t>
  </si>
  <si>
    <t xml:space="preserve">FERPA readiness.</t>
  </si>
  <si>
    <t xml:space="preserve">ED5</t>
  </si>
  <si>
    <t xml:space="preserve">Cashless campus dining / vending penetration?</t>
  </si>
  <si>
    <t xml:space="preserve">Cashless rollout.</t>
  </si>
  <si>
    <t xml:space="preserve">FITNESS</t>
  </si>
  <si>
    <t xml:space="preserve">FI1</t>
  </si>
  <si>
    <t xml:space="preserve">Industry block — Fitness</t>
  </si>
  <si>
    <t xml:space="preserve">Club / chain size.</t>
  </si>
  <si>
    <t xml:space="preserve">1 location / 2–10 / 11–50 / 51–200 / 200+</t>
  </si>
  <si>
    <t xml:space="preserve">Club scale.</t>
  </si>
  <si>
    <t xml:space="preserve">FI2</t>
  </si>
  <si>
    <t xml:space="preserve">Member-management platform.</t>
  </si>
  <si>
    <t xml:space="preserve">Mindbody / ABC Fitness / Mariana Tek / Glofox / Other</t>
  </si>
  <si>
    <t xml:space="preserve">FI3</t>
  </si>
  <si>
    <t xml:space="preserve">Member credential type.</t>
  </si>
  <si>
    <t xml:space="preserve">MIFARE DESFire card / Wristband / Phone NFC / Mix / Other</t>
  </si>
  <si>
    <t xml:space="preserve">FI4</t>
  </si>
  <si>
    <t xml:space="preserve">24/7 unstaffed access enabled?</t>
  </si>
  <si>
    <t xml:space="preserve">Yes — all / Yes — some / No / N/A</t>
  </si>
  <si>
    <t xml:space="preserve">Unstaffed model.</t>
  </si>
  <si>
    <t xml:space="preserve">FI5</t>
  </si>
  <si>
    <t xml:space="preserve">Cashless on-property spend penetration?</t>
  </si>
  <si>
    <t xml:space="preserve">Cashless on-property.</t>
  </si>
  <si>
    <t xml:space="preserve">AGRICULTURE</t>
  </si>
  <si>
    <t xml:space="preserve">AG1</t>
  </si>
  <si>
    <t xml:space="preserve">Industry block — Agriculture</t>
  </si>
  <si>
    <t xml:space="preserve">Production segment.</t>
  </si>
  <si>
    <t xml:space="preserve">Cattle / Sheep / Goats / Pigs / Horses / Poultry / Crops / Other</t>
  </si>
  <si>
    <t xml:space="preserve">Segment mix.</t>
  </si>
  <si>
    <t xml:space="preserve">AG2</t>
  </si>
  <si>
    <t xml:space="preserve">Animal-ID tag technology.</t>
  </si>
  <si>
    <t xml:space="preserve">LF 134.2 kHz HDX / LF 134.2 kHz FDX-B / UHF / Mix / N/A</t>
  </si>
  <si>
    <t xml:space="preserve">Tag tech.</t>
  </si>
  <si>
    <t xml:space="preserve">AG3</t>
  </si>
  <si>
    <t xml:space="preserve">ISO 11784/11785 compliance status?</t>
  </si>
  <si>
    <t xml:space="preserve">Yes / In progress / No / N/A</t>
  </si>
  <si>
    <t xml:space="preserve">ISO compliance.</t>
  </si>
  <si>
    <t xml:space="preserve">AG4</t>
  </si>
  <si>
    <t xml:space="preserve">Cross-border movement traceability needed?</t>
  </si>
  <si>
    <t xml:space="preserve">EU / US / Canada / Australia / Japan / N/A</t>
  </si>
  <si>
    <t xml:space="preserve">Trade exposure.</t>
  </si>
  <si>
    <t xml:space="preserve">AG5</t>
  </si>
  <si>
    <t xml:space="preserve">Irrigation / equipment RFID asset tracking?</t>
  </si>
  <si>
    <t xml:space="preserve">Yes / Pilot / No / N/A</t>
  </si>
  <si>
    <t xml:space="preserve">Asset RFID.</t>
  </si>
  <si>
    <t xml:space="preserve">EU COMPLIANCE</t>
  </si>
  <si>
    <t xml:space="preserve">EU1</t>
  </si>
  <si>
    <t xml:space="preserve">Industry block — EU Compliance</t>
  </si>
  <si>
    <t xml:space="preserve">EU-bound product categories.</t>
  </si>
  <si>
    <t xml:space="preserve">Textiles / Batteries / Electronics / Construction / Furniture / Toys / Detergents / Other</t>
  </si>
  <si>
    <t xml:space="preserve">Category exposure.</t>
  </si>
  <si>
    <t xml:space="preserve">EU2</t>
  </si>
  <si>
    <t xml:space="preserve">Digital Product Passport readiness?</t>
  </si>
  <si>
    <t xml:space="preserve">EU3</t>
  </si>
  <si>
    <t xml:space="preserve">EU Battery Regulation 2023/1542 obligations applicable?</t>
  </si>
  <si>
    <t xml:space="preserve">Yes — direct / Yes — supplier / No / Don't know</t>
  </si>
  <si>
    <t xml:space="preserve">Battery exposure.</t>
  </si>
  <si>
    <t xml:space="preserve">EU4</t>
  </si>
  <si>
    <t xml:space="preserve">GS1 Digital Link / CIRPASS engagement?</t>
  </si>
  <si>
    <t xml:space="preserve">Yes / Considering / No</t>
  </si>
  <si>
    <t xml:space="preserve">CIRPASS engagement.</t>
  </si>
  <si>
    <t xml:space="preserve">EU5</t>
  </si>
  <si>
    <t xml:space="preserve">EUDR (deforestation) obligations applicable?</t>
  </si>
  <si>
    <t xml:space="preserve">EUDR exposure.</t>
  </si>
  <si>
    <t xml:space="preserve">AUTOMOTIVE &amp; TIRE OEM</t>
  </si>
  <si>
    <t xml:space="preserve">AT1</t>
  </si>
  <si>
    <t xml:space="preserve">Industry block — Automotive &amp; Tire OEM</t>
  </si>
  <si>
    <t xml:space="preserve">Production role.</t>
  </si>
  <si>
    <t xml:space="preserve">Tire OEM / Vehicle OEM Tier-1 / Tier-2 / Aftermarket / Other</t>
  </si>
  <si>
    <t xml:space="preserve">Role.</t>
  </si>
  <si>
    <t xml:space="preserve">AT2</t>
  </si>
  <si>
    <t xml:space="preserve">Cure-survivable UHF tire labels deployed?</t>
  </si>
  <si>
    <t xml:space="preserve">Yes — all SKUs / Yes — some / Pilot / No / N/A</t>
  </si>
  <si>
    <t xml:space="preserve">Tire-tag deployment.</t>
  </si>
  <si>
    <t xml:space="preserve">AT3</t>
  </si>
  <si>
    <t xml:space="preserve">NHTSA TIN serialization in tag?</t>
  </si>
  <si>
    <t xml:space="preserve">Yes / Planned / No / Don't know</t>
  </si>
  <si>
    <t xml:space="preserve">NHTSA TIN.</t>
  </si>
  <si>
    <t xml:space="preserve">AT4</t>
  </si>
  <si>
    <t xml:space="preserve">EU 2020/740 EPREL data tied to RFID?</t>
  </si>
  <si>
    <t xml:space="preserve">EU EPREL.</t>
  </si>
  <si>
    <t xml:space="preserve">AT5</t>
  </si>
  <si>
    <t xml:space="preserve">TPMS-pair workflow using RFID?</t>
  </si>
  <si>
    <t xml:space="preserve">TPMS workflow.</t>
  </si>
  <si>
    <t xml:space="preserve">AEROSPACE &amp; AVIATION MRO</t>
  </si>
  <si>
    <t xml:space="preserve">AS1</t>
  </si>
  <si>
    <t xml:space="preserve">Industry block — Aerospace &amp; Aviation MRO</t>
  </si>
  <si>
    <t xml:space="preserve">Operational role.</t>
  </si>
  <si>
    <t xml:space="preserve">Airline / MRO provider / Parts manufacturer / Other</t>
  </si>
  <si>
    <t xml:space="preserve">AS2</t>
  </si>
  <si>
    <t xml:space="preserve">ATA Spec 2000 Ch. 9-5 RFID adoption?</t>
  </si>
  <si>
    <t xml:space="preserve">Yes — all parts / Yes — controlled parts / Pilot / No</t>
  </si>
  <si>
    <t xml:space="preserve">Adoption stage.</t>
  </si>
  <si>
    <t xml:space="preserve">AS3</t>
  </si>
  <si>
    <t xml:space="preserve">FAA AC 20-162A part-marking status?</t>
  </si>
  <si>
    <t xml:space="preserve">Compliant / In progress / N/A</t>
  </si>
  <si>
    <t xml:space="preserve">FAA AC status.</t>
  </si>
  <si>
    <t xml:space="preserve">AS4</t>
  </si>
  <si>
    <t xml:space="preserve">EASA ETSO-C238 obligations?</t>
  </si>
  <si>
    <t xml:space="preserve">Yes / No / Don't know</t>
  </si>
  <si>
    <t xml:space="preserve">EASA ETSO.</t>
  </si>
  <si>
    <t xml:space="preserve">AS5</t>
  </si>
  <si>
    <t xml:space="preserve">Tool-control RFID deployed in MRO?</t>
  </si>
  <si>
    <t xml:space="preserve">Tool control.</t>
  </si>
  <si>
    <t xml:space="preserve">DATA CENTER &amp; IT ASSET TRACKING</t>
  </si>
  <si>
    <t xml:space="preserve">DC1</t>
  </si>
  <si>
    <t xml:space="preserve">Industry block — Data Center &amp; IT Asset Tracking</t>
  </si>
  <si>
    <t xml:space="preserve">Facility type.</t>
  </si>
  <si>
    <t xml:space="preserve">Hyperscaler / Colo / Enterprise on-prem / Edge / Other</t>
  </si>
  <si>
    <t xml:space="preserve">DC2</t>
  </si>
  <si>
    <t xml:space="preserve">Asset audit cadence using RFID?</t>
  </si>
  <si>
    <t xml:space="preserve">Monthly / Quarterly / Semi-annual / Annual / Continuous</t>
  </si>
  <si>
    <t xml:space="preserve">Audit cadence.</t>
  </si>
  <si>
    <t xml:space="preserve">DC3</t>
  </si>
  <si>
    <t xml:space="preserve">On-metal UHF tags on server chassis?</t>
  </si>
  <si>
    <t xml:space="preserve">Yes — all / Yes — some / No / Pilot</t>
  </si>
  <si>
    <t xml:space="preserve">On-metal.</t>
  </si>
  <si>
    <t xml:space="preserve">DC4</t>
  </si>
  <si>
    <t xml:space="preserve">ServiceNow ITAM integration?</t>
  </si>
  <si>
    <t xml:space="preserve">Yes — full / Yes — partial / No / N/A</t>
  </si>
  <si>
    <t xml:space="preserve">ITAM integration.</t>
  </si>
  <si>
    <t xml:space="preserve">DC5</t>
  </si>
  <si>
    <t xml:space="preserve">NIST 800-88 sanitization chain of custody using RFID?</t>
  </si>
  <si>
    <t xml:space="preserve">Yes / No / Pilot / N/A</t>
  </si>
  <si>
    <t xml:space="preserve">Sanitization chain.</t>
  </si>
  <si>
    <t xml:space="preserve">GOVERNMENT &amp; DEFENSE</t>
  </si>
  <si>
    <t xml:space="preserve">GD1</t>
  </si>
  <si>
    <t xml:space="preserve">Industry block — Government &amp; Defense</t>
  </si>
  <si>
    <t xml:space="preserve">Organization type.</t>
  </si>
  <si>
    <t xml:space="preserve">DoD prime / DoD subcontractor / Federal civilian / NATO / Other</t>
  </si>
  <si>
    <t xml:space="preserve">Org type.</t>
  </si>
  <si>
    <t xml:space="preserve">GD2</t>
  </si>
  <si>
    <t xml:space="preserve">MIL-STD-129R compliance status?</t>
  </si>
  <si>
    <t xml:space="preserve">129R status.</t>
  </si>
  <si>
    <t xml:space="preserve">GD3</t>
  </si>
  <si>
    <t xml:space="preserve">MIL-STD-130N IUID marking status?</t>
  </si>
  <si>
    <t xml:space="preserve">130N status.</t>
  </si>
  <si>
    <t xml:space="preserve">GD4</t>
  </si>
  <si>
    <t xml:space="preserve">DFARS 252.211-7006 WAWF iRFID submission rate (last 12 months)?</t>
  </si>
  <si>
    <t xml:space="preserve">100% / 75–99% / 50–74% / &lt;50% / N/A</t>
  </si>
  <si>
    <t xml:space="preserve">WAWF iRFID.</t>
  </si>
  <si>
    <t xml:space="preserve">GD5</t>
  </si>
  <si>
    <t xml:space="preserve">NATO STANAG 4329 alignment (if multinational)?</t>
  </si>
  <si>
    <t xml:space="preserve">Yes / In progress / N/A</t>
  </si>
  <si>
    <t xml:space="preserve">STANAG status.</t>
  </si>
  <si>
    <t xml:space="preserve">COLD CHAIN &amp; FOOD TRACEABILITY</t>
  </si>
  <si>
    <t xml:space="preserve">CC1</t>
  </si>
  <si>
    <t xml:space="preserve">Industry block — Cold Chain &amp; Food Traceability</t>
  </si>
  <si>
    <t xml:space="preserve">Producer / Processor / 3PL / Distributor / Retailer / Other</t>
  </si>
  <si>
    <t xml:space="preserve">CC2</t>
  </si>
  <si>
    <t xml:space="preserve">FSMA 204 compliance status?</t>
  </si>
  <si>
    <t xml:space="preserve">Ready / On track / At risk / Not applicable</t>
  </si>
  <si>
    <t xml:space="preserve">FSMA 204 readiness.</t>
  </si>
  <si>
    <t xml:space="preserve">CC3</t>
  </si>
  <si>
    <t xml:space="preserve">EUDR (deforestation) obligations?</t>
  </si>
  <si>
    <t xml:space="preserve">CC4</t>
  </si>
  <si>
    <t xml:space="preserve">GS1 EPCIS event sharing with trading partners?</t>
  </si>
  <si>
    <t xml:space="preserve">Yes — bidirectional / Outbound only / No / Don't know</t>
  </si>
  <si>
    <t xml:space="preserve">EPCIS streaming.</t>
  </si>
  <si>
    <t xml:space="preserve">CC5</t>
  </si>
  <si>
    <t xml:space="preserve">Reefer-container temperature telematics integrated with RFID/EPCIS?</t>
  </si>
  <si>
    <t xml:space="preserve">Reefer integration.</t>
  </si>
  <si>
    <t xml:space="preserve">Q1 industry response</t>
  </si>
  <si>
    <t xml:space="preserve">Triggered block</t>
  </si>
  <si>
    <t xml:space="preserve">Item count</t>
  </si>
  <si>
    <t xml:space="preserve">QID prefix</t>
  </si>
  <si>
    <t xml:space="preserve">Retail &amp; Apparel</t>
  </si>
  <si>
    <t xml:space="preserve">Retail &amp; Apparel block</t>
  </si>
  <si>
    <t xml:space="preserve">RA</t>
  </si>
  <si>
    <t xml:space="preserve">Hospitality</t>
  </si>
  <si>
    <t xml:space="preserve">Hospitality block</t>
  </si>
  <si>
    <t xml:space="preserve">HO</t>
  </si>
  <si>
    <t xml:space="preserve">Healthcare</t>
  </si>
  <si>
    <t xml:space="preserve">Healthcare block</t>
  </si>
  <si>
    <t xml:space="preserve">HC</t>
  </si>
  <si>
    <t xml:space="preserve">Events &amp; Venues</t>
  </si>
  <si>
    <t xml:space="preserve">Events &amp; Venues block</t>
  </si>
  <si>
    <t xml:space="preserve">EV</t>
  </si>
  <si>
    <t xml:space="preserve">Logistics</t>
  </si>
  <si>
    <t xml:space="preserve">Logistics block</t>
  </si>
  <si>
    <t xml:space="preserve">LO</t>
  </si>
  <si>
    <t xml:space="preserve">Industrial</t>
  </si>
  <si>
    <t xml:space="preserve">Industrial block</t>
  </si>
  <si>
    <t xml:space="preserve">IN</t>
  </si>
  <si>
    <t xml:space="preserve">Libraries</t>
  </si>
  <si>
    <t xml:space="preserve">Libraries block</t>
  </si>
  <si>
    <t xml:space="preserve">LI</t>
  </si>
  <si>
    <t xml:space="preserve">Laundry Services</t>
  </si>
  <si>
    <t xml:space="preserve">Laundry Services block</t>
  </si>
  <si>
    <t xml:space="preserve">LA</t>
  </si>
  <si>
    <t xml:space="preserve">Pharmaceutical</t>
  </si>
  <si>
    <t xml:space="preserve">Pharmaceutical block</t>
  </si>
  <si>
    <t xml:space="preserve">PH</t>
  </si>
  <si>
    <t xml:space="preserve">Luxury Brands</t>
  </si>
  <si>
    <t xml:space="preserve">Luxury Brands block</t>
  </si>
  <si>
    <t xml:space="preserve">LU</t>
  </si>
  <si>
    <t xml:space="preserve">Brand Protection</t>
  </si>
  <si>
    <t xml:space="preserve">Brand Protection block</t>
  </si>
  <si>
    <t xml:space="preserve">BP</t>
  </si>
  <si>
    <t xml:space="preserve">Education</t>
  </si>
  <si>
    <t xml:space="preserve">Education block</t>
  </si>
  <si>
    <t xml:space="preserve">ED</t>
  </si>
  <si>
    <t xml:space="preserve">Fitness</t>
  </si>
  <si>
    <t xml:space="preserve">Fitness block</t>
  </si>
  <si>
    <t xml:space="preserve">FI</t>
  </si>
  <si>
    <t xml:space="preserve">Agriculture</t>
  </si>
  <si>
    <t xml:space="preserve">Agriculture block</t>
  </si>
  <si>
    <t xml:space="preserve">AG</t>
  </si>
  <si>
    <t xml:space="preserve">EU Compliance</t>
  </si>
  <si>
    <t xml:space="preserve">EU Compliance block</t>
  </si>
  <si>
    <t xml:space="preserve">EU</t>
  </si>
  <si>
    <t xml:space="preserve">Automotive &amp; Tire OEM</t>
  </si>
  <si>
    <t xml:space="preserve">Automotive &amp; Tire OEM block</t>
  </si>
  <si>
    <t xml:space="preserve">AT</t>
  </si>
  <si>
    <t xml:space="preserve">Aerospace &amp; Aviation MRO</t>
  </si>
  <si>
    <t xml:space="preserve">Aerospace &amp; Aviation MRO block</t>
  </si>
  <si>
    <t xml:space="preserve">AS</t>
  </si>
  <si>
    <t xml:space="preserve">Data Center &amp; IT Asset Tracking</t>
  </si>
  <si>
    <t xml:space="preserve">Data Center &amp; IT Asset Tracking block</t>
  </si>
  <si>
    <t xml:space="preserve">DC</t>
  </si>
  <si>
    <t xml:space="preserve">Government &amp; Defense</t>
  </si>
  <si>
    <t xml:space="preserve">Government &amp; Defense block</t>
  </si>
  <si>
    <t xml:space="preserve">GD</t>
  </si>
  <si>
    <t xml:space="preserve">Cold Chain &amp; Food Traceability</t>
  </si>
  <si>
    <t xml:space="preserve">Cold Chain &amp; Food Traceability block</t>
  </si>
  <si>
    <t xml:space="preserve">CC</t>
  </si>
  <si>
    <t xml:space="preserve">Recruitment funnel — live counts</t>
  </si>
  <si>
    <t xml:space="preserve">Target N</t>
  </si>
  <si>
    <t xml:space="preserve">Invited</t>
  </si>
  <si>
    <t xml:space="preserve">Qualified</t>
  </si>
  <si>
    <t xml:space="preserve">Completed</t>
  </si>
  <si>
    <t xml:space="preserve">Excluded</t>
  </si>
  <si>
    <t xml:space="preserve">Response rate</t>
  </si>
  <si>
    <t xml:space="preserve">Respondent ID</t>
  </si>
  <si>
    <t xml:space="preserve">Date invited</t>
  </si>
  <si>
    <t xml:space="preserve">Channel</t>
  </si>
  <si>
    <t xml:space="preserve">Industry (Q1)</t>
  </si>
  <si>
    <t xml:space="preserve">Role (Q2)</t>
  </si>
  <si>
    <t xml:space="preserve">Org-size (Q3)</t>
  </si>
  <si>
    <t xml:space="preserve">Org domain</t>
  </si>
  <si>
    <t xml:space="preserve">Reminder count</t>
  </si>
  <si>
    <t xml:space="preserve">Status</t>
  </si>
  <si>
    <t xml:space="preserve">Date completed</t>
  </si>
  <si>
    <t xml:space="preserve">Exclusion reason</t>
  </si>
  <si>
    <t xml:space="preserve">Incentive paid</t>
  </si>
  <si>
    <t xml:space="preserve">Industry quota</t>
  </si>
  <si>
    <t xml:space="preserve">Target</t>
  </si>
  <si>
    <t xml:space="preserve">% to goal</t>
  </si>
  <si>
    <t xml:space="preserve">R0001</t>
  </si>
  <si>
    <t xml:space="preserve">2026-05-18</t>
  </si>
  <si>
    <t xml:space="preserve">LinkedIn Sales Nav</t>
  </si>
  <si>
    <t xml:space="preserve">Procurement</t>
  </si>
  <si>
    <t xml:space="preserve">$250M–1B</t>
  </si>
  <si>
    <t xml:space="preserve">example.com</t>
  </si>
  <si>
    <t xml:space="preserve">Raw Data — paste Qualtrics CSV export here at fieldwork close. Preserve QID column order.</t>
  </si>
  <si>
    <t xml:space="preserve">RespondentID</t>
  </si>
  <si>
    <t xml:space="preserve">ResponseDate</t>
  </si>
  <si>
    <t xml:space="preserve">DurationSec</t>
  </si>
  <si>
    <t xml:space="preserve">Pre-registered analyses — formulas pull from Raw Data.</t>
  </si>
  <si>
    <t xml:space="preserve">Italic cells are placeholders the analyst replaces with run-specific formulas after data closes.</t>
  </si>
  <si>
    <t xml:space="preserve">RQ1 — Adoption maturity by industry (Q4)</t>
  </si>
  <si>
    <t xml:space="preserve">Industry</t>
  </si>
  <si>
    <t xml:space="preserve">No RFID</t>
  </si>
  <si>
    <t xml:space="preserve">Piloting</t>
  </si>
  <si>
    <t xml:space="preserve">Partial production</t>
  </si>
  <si>
    <t xml:space="preserve">Full production</t>
  </si>
  <si>
    <t xml:space="preserve">Total</t>
  </si>
  <si>
    <t xml:space="preserve">RQ3 — KPI lift expected vs realized (across all respondents)</t>
  </si>
  <si>
    <t xml:space="preserve">KPI</t>
  </si>
  <si>
    <t xml:space="preserve">Median expected</t>
  </si>
  <si>
    <t xml:space="preserve">Median realized</t>
  </si>
  <si>
    <t xml:space="preserve">Delta (realized - expected)</t>
  </si>
  <si>
    <t xml:space="preserve">Source columns</t>
  </si>
  <si>
    <t xml:space="preserve">Inventory accuracy lift (pp)</t>
  </si>
  <si>
    <t xml:space="preserve">[fill after import]</t>
  </si>
  <si>
    <t xml:space="preserve">Q14 Q14_inv_acc / Q15 Q15_inv_acc</t>
  </si>
  <si>
    <t xml:space="preserve">BOPIS lift (pp)</t>
  </si>
  <si>
    <t xml:space="preserve">Q14 Q14_bopis / Q15 Q15_bopis</t>
  </si>
  <si>
    <t xml:space="preserve">Shrink reduction (pp)</t>
  </si>
  <si>
    <t xml:space="preserve">Q14 Q14_shrink / Q15 Q15_shrink</t>
  </si>
  <si>
    <t xml:space="preserve">Labor reduction (pp)</t>
  </si>
  <si>
    <t xml:space="preserve">Q14 Q14_labor / Q15 Q15_labor</t>
  </si>
  <si>
    <t xml:space="preserve">Fines reduction ($K)</t>
  </si>
  <si>
    <t xml:space="preserve">Q14 Q14_fines / Q15 Q15_fines</t>
  </si>
  <si>
    <t xml:space="preserve">CSAT lift (pp)</t>
  </si>
  <si>
    <t xml:space="preserve">Q14 Q14_csat / Q15 Q15_csat</t>
  </si>
  <si>
    <t xml:space="preserve">Top-line dashboard — 2026 RFID Industry Adoption Index</t>
  </si>
  <si>
    <t xml:space="preserve">Live formulas pull from Raw Data. Numbers populate after fieldwork close.</t>
  </si>
  <si>
    <t xml:space="preserve">Total completed responses</t>
  </si>
  <si>
    <t xml:space="preserve">Industries with N&gt;=10</t>
  </si>
  <si>
    <t xml:space="preserve">Adoption stage distribution by industry (% of completed)</t>
  </si>
  <si>
    <t xml:space="preserve">Methodology metadata — final values copy into the report appendix.</t>
  </si>
  <si>
    <t xml:space="preserve">Study</t>
  </si>
  <si>
    <t xml:space="preserve">2026-05-11 (Center for Open Science)</t>
  </si>
  <si>
    <t xml:space="preserve">Industries</t>
  </si>
  <si>
    <t xml:space="preserve">Per-industry quota</t>
  </si>
  <si>
    <t xml:space="preserve">Recruitment opens</t>
  </si>
  <si>
    <t xml:space="preserve">Pilot fielded</t>
  </si>
  <si>
    <t xml:space="preserve">2026-06-01 (N=20)</t>
  </si>
  <si>
    <t xml:space="preserve">Main field opens</t>
  </si>
  <si>
    <t xml:space="preserve">2026-06-15</t>
  </si>
  <si>
    <t xml:space="preserve">Fieldwork closes (target)</t>
  </si>
  <si>
    <t xml:space="preserve">2026-08-15</t>
  </si>
  <si>
    <t xml:space="preserve">Data freeze</t>
  </si>
  <si>
    <t xml:space="preserve">2026-09-05</t>
  </si>
  <si>
    <t xml:space="preserve">First data brief</t>
  </si>
  <si>
    <t xml:space="preserve">2026-09-15</t>
  </si>
  <si>
    <t xml:space="preserve">Full report</t>
  </si>
  <si>
    <t xml:space="preserve">2026-10-30</t>
  </si>
  <si>
    <t xml:space="preserve">Open dataset (CC-BY-4.0)</t>
  </si>
  <si>
    <t xml:space="preserve">2027-01-28</t>
  </si>
  <si>
    <t xml:space="preserve">Weighting target</t>
  </si>
  <si>
    <t xml:space="preserve">IDC Worldwide RFID Forecast 2026 (or latest available)</t>
  </si>
  <si>
    <t xml:space="preserve">Weight cells</t>
  </si>
  <si>
    <t xml:space="preserve">Industry × organization-size band; collapse &lt;3</t>
  </si>
  <si>
    <t xml:space="preserve">Reliability target</t>
  </si>
  <si>
    <t xml:space="preserve">Cronbach α ≥ 0.75 on Likert KPI batteries</t>
  </si>
  <si>
    <t xml:space="preserve">Inter-rater target</t>
  </si>
  <si>
    <t xml:space="preserve">Cohen κ ≥ 0.70 on qualitative coding</t>
  </si>
  <si>
    <t xml:space="preserve">Multiple-comparisons correction</t>
  </si>
  <si>
    <t xml:space="preserve">Bonferroni for 5 primary hypotheses; per-comparison α = 0.01</t>
  </si>
  <si>
    <t xml:space="preserve">Bootstrap iterations for CIs</t>
  </si>
  <si>
    <t xml:space="preserve">Random seed</t>
  </si>
  <si>
    <t xml:space="preserve">Funding</t>
  </si>
  <si>
    <t xml:space="preserve">Proud Tek internal marketing R&amp;D, USD 28,500</t>
  </si>
  <si>
    <t xml:space="preserve">Conflicts of interest</t>
  </si>
  <si>
    <t xml:space="preserve">Researchers and statistical adviser hold no Proud Tek equity</t>
  </si>
  <si>
    <t xml:space="preserve">Open data license</t>
  </si>
  <si>
    <t xml:space="preserve">CC-BY-4.0 after 90-day exclusivity window</t>
  </si>
  <si>
    <t xml:space="preserve">Analysis code repository</t>
  </si>
  <si>
    <t xml:space="preserve">github.com/Proud-Tek/research-2026-adoption-index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</si>
</sst>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1A"/>
      <name val="Arial"/>
      <family val="0"/>
      <charset val="1"/>
    </font>
    <font>
      <i val="true"/>
      <sz val="12"/>
      <color rgb="FFC39A5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C39A5F"/>
      <name val="Arial"/>
      <family val="0"/>
      <charset val="1"/>
    </font>
    <font>
      <b val="true"/>
      <sz val="14"/>
      <color rgb="FFC39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rgb="FFF8F2E8"/>
      </patternFill>
    </fill>
    <fill>
      <patternFill patternType="solid">
        <fgColor rgb="FF1A1A1A"/>
        <bgColor rgb="FF333300"/>
      </patternFill>
    </fill>
    <fill>
      <patternFill patternType="solid">
        <fgColor rgb="FFF8F2E8"/>
        <bgColor rgb="FFEA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F2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8F2E8"/>
      <rgbColor rgb="FFEAEAEA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39A5F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0" t="s">
        <v>3</v>
      </c>
    </row>
    <row r="5" customFormat="false" ht="15" hidden="false" customHeight="false" outlineLevel="0" collapsed="false">
      <c r="A5" s="3" t="s">
        <v>4</v>
      </c>
      <c r="B5" s="0" t="s">
        <v>5</v>
      </c>
    </row>
    <row r="6" customFormat="false" ht="15" hidden="false" customHeight="false" outlineLevel="0" collapsed="false">
      <c r="A6" s="3" t="s">
        <v>6</v>
      </c>
      <c r="B6" s="0" t="s">
        <v>7</v>
      </c>
    </row>
    <row r="8" customFormat="false" ht="15" hidden="false" customHeight="false" outlineLevel="0" collapsed="false">
      <c r="A8" s="4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5" t="s">
        <v>11</v>
      </c>
    </row>
    <row r="10" customFormat="false" ht="23.85" hidden="false" customHeight="false" outlineLevel="0" collapsed="false">
      <c r="A10" s="3" t="s">
        <v>12</v>
      </c>
      <c r="B10" s="5" t="s">
        <v>13</v>
      </c>
    </row>
    <row r="11" customFormat="false" ht="15" hidden="false" customHeight="false" outlineLevel="0" collapsed="false">
      <c r="A11" s="3" t="s">
        <v>14</v>
      </c>
      <c r="B11" s="5" t="s">
        <v>15</v>
      </c>
    </row>
    <row r="12" customFormat="false" ht="15" hidden="false" customHeight="false" outlineLevel="0" collapsed="false">
      <c r="A12" s="3" t="s">
        <v>16</v>
      </c>
      <c r="B12" s="5" t="s">
        <v>17</v>
      </c>
    </row>
    <row r="13" customFormat="false" ht="23.85" hidden="false" customHeight="false" outlineLevel="0" collapsed="false">
      <c r="A13" s="3" t="s">
        <v>18</v>
      </c>
      <c r="B13" s="5" t="s">
        <v>19</v>
      </c>
    </row>
    <row r="14" customFormat="false" ht="15" hidden="false" customHeight="false" outlineLevel="0" collapsed="false">
      <c r="A14" s="3" t="s">
        <v>20</v>
      </c>
      <c r="B14" s="5" t="s">
        <v>21</v>
      </c>
    </row>
    <row r="15" customFormat="false" ht="15" hidden="false" customHeight="false" outlineLevel="0" collapsed="false">
      <c r="A15" s="3" t="s">
        <v>22</v>
      </c>
      <c r="B15" s="5" t="s">
        <v>23</v>
      </c>
    </row>
    <row r="16" customFormat="false" ht="15" hidden="false" customHeight="false" outlineLevel="0" collapsed="false">
      <c r="A16" s="3" t="s">
        <v>24</v>
      </c>
      <c r="B16" s="5" t="s">
        <v>25</v>
      </c>
    </row>
    <row r="19" customFormat="false" ht="17.35" hidden="false" customHeight="false" outlineLevel="0" collapsed="false">
      <c r="A19" s="6" t="s">
        <v>26</v>
      </c>
    </row>
    <row r="20" customFormat="false" ht="15" hidden="false" customHeight="false" outlineLevel="0" collapsed="false">
      <c r="A20" s="0" t="s">
        <v>27</v>
      </c>
      <c r="B20" s="0" t="s">
        <v>28</v>
      </c>
    </row>
    <row r="21" customFormat="false" ht="15" hidden="false" customHeight="false" outlineLevel="0" collapsed="false">
      <c r="A21" s="0" t="s">
        <v>29</v>
      </c>
      <c r="B21" s="0" t="s">
        <v>30</v>
      </c>
    </row>
    <row r="22" customFormat="false" ht="15" hidden="false" customHeight="false" outlineLevel="0" collapsed="false">
      <c r="A22" s="0" t="s">
        <v>31</v>
      </c>
      <c r="B22" s="0" t="s">
        <v>32</v>
      </c>
    </row>
    <row r="23" customFormat="false" ht="15" hidden="false" customHeight="false" outlineLevel="0" collapsed="false">
      <c r="A23" s="0" t="s">
        <v>33</v>
      </c>
      <c r="B23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</row>
    <row r="2" customFormat="false" ht="23.85" hidden="false" customHeight="false" outlineLevel="0" collapsed="false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</row>
    <row r="3" customFormat="false" ht="23.85" hidden="false" customHeight="false" outlineLevel="0" collapsed="false">
      <c r="A3" s="8" t="s">
        <v>49</v>
      </c>
      <c r="B3" s="8" t="s">
        <v>43</v>
      </c>
      <c r="C3" s="8" t="s">
        <v>50</v>
      </c>
      <c r="D3" s="8" t="s">
        <v>45</v>
      </c>
      <c r="E3" s="8" t="s">
        <v>51</v>
      </c>
      <c r="F3" s="8" t="s">
        <v>52</v>
      </c>
      <c r="G3" s="8" t="s">
        <v>53</v>
      </c>
    </row>
    <row r="4" customFormat="false" ht="23.85" hidden="false" customHeight="false" outlineLevel="0" collapsed="false">
      <c r="A4" s="8" t="s">
        <v>54</v>
      </c>
      <c r="B4" s="8" t="s">
        <v>43</v>
      </c>
      <c r="C4" s="8" t="s">
        <v>55</v>
      </c>
      <c r="D4" s="8" t="s">
        <v>45</v>
      </c>
      <c r="E4" s="8" t="s">
        <v>56</v>
      </c>
      <c r="F4" s="8" t="s">
        <v>57</v>
      </c>
      <c r="G4" s="8" t="s">
        <v>58</v>
      </c>
    </row>
    <row r="5" customFormat="false" ht="23.85" hidden="false" customHeight="false" outlineLevel="0" collapsed="false">
      <c r="A5" s="8" t="s">
        <v>59</v>
      </c>
      <c r="B5" s="8" t="s">
        <v>60</v>
      </c>
      <c r="C5" s="8" t="s">
        <v>61</v>
      </c>
      <c r="D5" s="8" t="s">
        <v>45</v>
      </c>
      <c r="E5" s="8" t="s">
        <v>62</v>
      </c>
      <c r="F5" s="8" t="s">
        <v>63</v>
      </c>
      <c r="G5" s="8" t="s">
        <v>64</v>
      </c>
    </row>
    <row r="6" customFormat="false" ht="15" hidden="false" customHeight="false" outlineLevel="0" collapsed="false">
      <c r="A6" s="8" t="s">
        <v>65</v>
      </c>
      <c r="B6" s="8" t="s">
        <v>60</v>
      </c>
      <c r="C6" s="8" t="s">
        <v>66</v>
      </c>
      <c r="D6" s="8" t="s">
        <v>67</v>
      </c>
      <c r="E6" s="8" t="s">
        <v>68</v>
      </c>
      <c r="F6" s="8" t="s">
        <v>69</v>
      </c>
      <c r="G6" s="8" t="s">
        <v>70</v>
      </c>
    </row>
    <row r="7" customFormat="false" ht="23.85" hidden="false" customHeight="false" outlineLevel="0" collapsed="false">
      <c r="A7" s="8" t="s">
        <v>71</v>
      </c>
      <c r="B7" s="8" t="s">
        <v>60</v>
      </c>
      <c r="C7" s="8" t="s">
        <v>72</v>
      </c>
      <c r="D7" s="8" t="s">
        <v>73</v>
      </c>
      <c r="E7" s="8" t="s">
        <v>74</v>
      </c>
      <c r="F7" s="8" t="s">
        <v>75</v>
      </c>
      <c r="G7" s="8" t="s">
        <v>76</v>
      </c>
    </row>
    <row r="8" customFormat="false" ht="23.85" hidden="false" customHeight="false" outlineLevel="0" collapsed="false">
      <c r="A8" s="8" t="s">
        <v>77</v>
      </c>
      <c r="B8" s="8" t="s">
        <v>60</v>
      </c>
      <c r="C8" s="8" t="s">
        <v>78</v>
      </c>
      <c r="D8" s="8" t="s">
        <v>73</v>
      </c>
      <c r="E8" s="8" t="s">
        <v>79</v>
      </c>
      <c r="F8" s="8" t="s">
        <v>80</v>
      </c>
      <c r="G8" s="8" t="s">
        <v>76</v>
      </c>
    </row>
    <row r="9" customFormat="false" ht="23.85" hidden="false" customHeight="false" outlineLevel="0" collapsed="false">
      <c r="A9" s="8" t="s">
        <v>81</v>
      </c>
      <c r="B9" s="8" t="s">
        <v>82</v>
      </c>
      <c r="C9" s="8" t="s">
        <v>83</v>
      </c>
      <c r="D9" s="8" t="s">
        <v>45</v>
      </c>
      <c r="E9" s="8" t="s">
        <v>84</v>
      </c>
      <c r="F9" s="8" t="s">
        <v>85</v>
      </c>
      <c r="G9" s="8" t="s">
        <v>53</v>
      </c>
    </row>
    <row r="10" customFormat="false" ht="15" hidden="false" customHeight="false" outlineLevel="0" collapsed="false">
      <c r="A10" s="8" t="s">
        <v>86</v>
      </c>
      <c r="B10" s="8" t="s">
        <v>82</v>
      </c>
      <c r="C10" s="8" t="s">
        <v>87</v>
      </c>
      <c r="D10" s="8" t="s">
        <v>45</v>
      </c>
      <c r="E10" s="8" t="s">
        <v>88</v>
      </c>
      <c r="F10" s="8" t="s">
        <v>89</v>
      </c>
      <c r="G10" s="8" t="s">
        <v>90</v>
      </c>
    </row>
    <row r="11" customFormat="false" ht="15" hidden="false" customHeight="false" outlineLevel="0" collapsed="false">
      <c r="A11" s="8" t="s">
        <v>91</v>
      </c>
      <c r="B11" s="8" t="s">
        <v>82</v>
      </c>
      <c r="C11" s="8" t="s">
        <v>92</v>
      </c>
      <c r="D11" s="8" t="s">
        <v>93</v>
      </c>
      <c r="E11" s="8" t="s">
        <v>94</v>
      </c>
      <c r="F11" s="8" t="s">
        <v>95</v>
      </c>
      <c r="G11" s="8" t="s">
        <v>96</v>
      </c>
    </row>
    <row r="12" customFormat="false" ht="15" hidden="false" customHeight="false" outlineLevel="0" collapsed="false">
      <c r="A12" s="8" t="s">
        <v>97</v>
      </c>
      <c r="B12" s="8" t="s">
        <v>82</v>
      </c>
      <c r="C12" s="8" t="s">
        <v>98</v>
      </c>
      <c r="D12" s="8" t="s">
        <v>45</v>
      </c>
      <c r="E12" s="8" t="s">
        <v>99</v>
      </c>
      <c r="F12" s="8" t="s">
        <v>100</v>
      </c>
      <c r="G12" s="8" t="s">
        <v>96</v>
      </c>
    </row>
    <row r="13" customFormat="false" ht="46.25" hidden="false" customHeight="false" outlineLevel="0" collapsed="false">
      <c r="A13" s="8" t="s">
        <v>101</v>
      </c>
      <c r="B13" s="8" t="s">
        <v>102</v>
      </c>
      <c r="C13" s="8" t="s">
        <v>103</v>
      </c>
      <c r="D13" s="8" t="s">
        <v>73</v>
      </c>
      <c r="E13" s="8" t="s">
        <v>104</v>
      </c>
      <c r="F13" s="8" t="s">
        <v>105</v>
      </c>
      <c r="G13" s="8" t="s">
        <v>106</v>
      </c>
    </row>
    <row r="14" customFormat="false" ht="23.85" hidden="false" customHeight="false" outlineLevel="0" collapsed="false">
      <c r="A14" s="8" t="s">
        <v>107</v>
      </c>
      <c r="B14" s="8" t="s">
        <v>102</v>
      </c>
      <c r="C14" s="8" t="s">
        <v>108</v>
      </c>
      <c r="D14" s="8" t="s">
        <v>109</v>
      </c>
      <c r="E14" s="8" t="s">
        <v>110</v>
      </c>
      <c r="F14" s="8" t="s">
        <v>111</v>
      </c>
      <c r="G14" s="8" t="s">
        <v>106</v>
      </c>
    </row>
    <row r="15" customFormat="false" ht="23.85" hidden="false" customHeight="false" outlineLevel="0" collapsed="false">
      <c r="A15" s="8" t="s">
        <v>112</v>
      </c>
      <c r="B15" s="8" t="s">
        <v>113</v>
      </c>
      <c r="C15" s="8" t="s">
        <v>114</v>
      </c>
      <c r="D15" s="8" t="s">
        <v>115</v>
      </c>
      <c r="E15" s="8" t="s">
        <v>116</v>
      </c>
      <c r="F15" s="8" t="s">
        <v>117</v>
      </c>
      <c r="G15" s="8" t="s">
        <v>118</v>
      </c>
    </row>
    <row r="16" customFormat="false" ht="15" hidden="false" customHeight="false" outlineLevel="0" collapsed="false">
      <c r="A16" s="8" t="s">
        <v>119</v>
      </c>
      <c r="B16" s="8" t="s">
        <v>120</v>
      </c>
      <c r="C16" s="8" t="s">
        <v>121</v>
      </c>
      <c r="D16" s="8" t="s">
        <v>115</v>
      </c>
      <c r="E16" s="8" t="s">
        <v>122</v>
      </c>
      <c r="F16" s="8" t="s">
        <v>123</v>
      </c>
      <c r="G16" s="8" t="s">
        <v>118</v>
      </c>
    </row>
    <row r="17" customFormat="false" ht="15" hidden="false" customHeight="false" outlineLevel="0" collapsed="false">
      <c r="A17" s="8" t="s">
        <v>124</v>
      </c>
      <c r="B17" s="8" t="s">
        <v>125</v>
      </c>
      <c r="C17" s="8" t="s">
        <v>126</v>
      </c>
      <c r="D17" s="8" t="s">
        <v>127</v>
      </c>
      <c r="E17" s="8" t="s">
        <v>128</v>
      </c>
      <c r="F17" s="8" t="s">
        <v>129</v>
      </c>
      <c r="G17" s="8" t="s">
        <v>130</v>
      </c>
    </row>
    <row r="18" customFormat="false" ht="15" hidden="false" customHeight="false" outlineLevel="0" collapsed="false">
      <c r="A18" s="8" t="s">
        <v>131</v>
      </c>
      <c r="B18" s="8" t="s">
        <v>132</v>
      </c>
      <c r="C18" s="8" t="s">
        <v>133</v>
      </c>
      <c r="D18" s="8" t="s">
        <v>73</v>
      </c>
      <c r="E18" s="8" t="s">
        <v>134</v>
      </c>
      <c r="F18" s="8" t="s">
        <v>135</v>
      </c>
      <c r="G18" s="8" t="s">
        <v>130</v>
      </c>
    </row>
    <row r="19" customFormat="false" ht="15" hidden="false" customHeight="false" outlineLevel="0" collapsed="false">
      <c r="A19" s="8" t="s">
        <v>136</v>
      </c>
      <c r="B19" s="8" t="s">
        <v>137</v>
      </c>
      <c r="C19" s="8" t="s">
        <v>138</v>
      </c>
      <c r="D19" s="8" t="s">
        <v>127</v>
      </c>
      <c r="E19" s="8" t="s">
        <v>127</v>
      </c>
      <c r="F19" s="8" t="s">
        <v>139</v>
      </c>
      <c r="G19" s="8" t="s">
        <v>140</v>
      </c>
    </row>
    <row r="20" customFormat="false" ht="46.25" hidden="false" customHeight="false" outlineLevel="0" collapsed="false">
      <c r="A20" s="8" t="s">
        <v>141</v>
      </c>
      <c r="B20" s="8" t="s">
        <v>142</v>
      </c>
      <c r="C20" s="8" t="s">
        <v>143</v>
      </c>
      <c r="D20" s="8" t="s">
        <v>144</v>
      </c>
      <c r="E20" s="8" t="s">
        <v>145</v>
      </c>
      <c r="F20" s="8" t="s">
        <v>146</v>
      </c>
      <c r="G20" s="8" t="s">
        <v>96</v>
      </c>
    </row>
    <row r="21" customFormat="false" ht="15" hidden="false" customHeight="false" outlineLevel="0" collapsed="false">
      <c r="A21" s="8" t="s">
        <v>147</v>
      </c>
      <c r="B21" s="8" t="s">
        <v>142</v>
      </c>
      <c r="C21" s="8" t="s">
        <v>148</v>
      </c>
      <c r="D21" s="8" t="s">
        <v>93</v>
      </c>
      <c r="E21" s="8" t="s">
        <v>149</v>
      </c>
      <c r="F21" s="8" t="s">
        <v>150</v>
      </c>
      <c r="G21" s="8" t="s">
        <v>96</v>
      </c>
    </row>
    <row r="22" customFormat="false" ht="15" hidden="false" customHeight="false" outlineLevel="0" collapsed="false">
      <c r="A22" s="8" t="s">
        <v>151</v>
      </c>
      <c r="B22" s="8" t="s">
        <v>137</v>
      </c>
      <c r="C22" s="8" t="s">
        <v>152</v>
      </c>
      <c r="D22" s="8" t="s">
        <v>45</v>
      </c>
      <c r="E22" s="8" t="s">
        <v>153</v>
      </c>
      <c r="F22" s="8" t="s">
        <v>154</v>
      </c>
      <c r="G22" s="8" t="s">
        <v>140</v>
      </c>
    </row>
    <row r="23" customFormat="false" ht="23.85" hidden="false" customHeight="false" outlineLevel="0" collapsed="false">
      <c r="A23" s="8" t="s">
        <v>155</v>
      </c>
      <c r="B23" s="8" t="s">
        <v>156</v>
      </c>
      <c r="C23" s="8" t="s">
        <v>157</v>
      </c>
      <c r="D23" s="8" t="s">
        <v>45</v>
      </c>
      <c r="E23" s="8" t="s">
        <v>158</v>
      </c>
      <c r="F23" s="8" t="s">
        <v>159</v>
      </c>
      <c r="G23" s="8" t="s">
        <v>90</v>
      </c>
    </row>
    <row r="24" customFormat="false" ht="23.85" hidden="false" customHeight="false" outlineLevel="0" collapsed="false">
      <c r="A24" s="8" t="s">
        <v>160</v>
      </c>
      <c r="B24" s="8" t="s">
        <v>156</v>
      </c>
      <c r="C24" s="8" t="s">
        <v>161</v>
      </c>
      <c r="D24" s="8" t="s">
        <v>45</v>
      </c>
      <c r="E24" s="8" t="s">
        <v>162</v>
      </c>
      <c r="F24" s="8" t="s">
        <v>163</v>
      </c>
      <c r="G24" s="8" t="s">
        <v>90</v>
      </c>
    </row>
    <row r="25" customFormat="false" ht="35.05" hidden="false" customHeight="false" outlineLevel="0" collapsed="false">
      <c r="A25" s="8" t="s">
        <v>164</v>
      </c>
      <c r="B25" s="8" t="s">
        <v>156</v>
      </c>
      <c r="C25" s="8" t="s">
        <v>165</v>
      </c>
      <c r="D25" s="8" t="s">
        <v>45</v>
      </c>
      <c r="E25" s="8" t="s">
        <v>166</v>
      </c>
      <c r="F25" s="8" t="s">
        <v>167</v>
      </c>
      <c r="G25" s="8" t="s">
        <v>90</v>
      </c>
    </row>
    <row r="26" customFormat="false" ht="23.85" hidden="false" customHeight="false" outlineLevel="0" collapsed="false">
      <c r="A26" s="8" t="s">
        <v>168</v>
      </c>
      <c r="B26" s="8" t="s">
        <v>169</v>
      </c>
      <c r="C26" s="8" t="s">
        <v>170</v>
      </c>
      <c r="D26" s="8" t="s">
        <v>93</v>
      </c>
      <c r="E26" s="8" t="s">
        <v>149</v>
      </c>
      <c r="F26" s="8" t="s">
        <v>171</v>
      </c>
      <c r="G26" s="8" t="s">
        <v>53</v>
      </c>
    </row>
    <row r="27" customFormat="false" ht="57.45" hidden="false" customHeight="false" outlineLevel="0" collapsed="false">
      <c r="A27" s="9" t="s">
        <v>172</v>
      </c>
      <c r="B27" s="9"/>
      <c r="C27" s="9"/>
      <c r="D27" s="9"/>
      <c r="E27" s="9"/>
      <c r="F27" s="9"/>
      <c r="G27" s="9"/>
    </row>
    <row r="28" customFormat="false" ht="23.85" hidden="false" customHeight="false" outlineLevel="0" collapsed="false">
      <c r="A28" s="10" t="s">
        <v>173</v>
      </c>
      <c r="B28" s="10"/>
      <c r="C28" s="10"/>
      <c r="D28" s="10"/>
      <c r="E28" s="10"/>
      <c r="F28" s="10"/>
      <c r="G28" s="10"/>
    </row>
    <row r="29" customFormat="false" ht="35.05" hidden="false" customHeight="false" outlineLevel="0" collapsed="false">
      <c r="A29" s="8" t="s">
        <v>174</v>
      </c>
      <c r="B29" s="8" t="s">
        <v>175</v>
      </c>
      <c r="C29" s="8" t="s">
        <v>176</v>
      </c>
      <c r="D29" s="8" t="s">
        <v>73</v>
      </c>
      <c r="E29" s="8" t="s">
        <v>177</v>
      </c>
      <c r="F29" s="8" t="s">
        <v>178</v>
      </c>
      <c r="G29" s="8" t="s">
        <v>179</v>
      </c>
    </row>
    <row r="30" customFormat="false" ht="23.85" hidden="false" customHeight="false" outlineLevel="0" collapsed="false">
      <c r="A30" s="8" t="s">
        <v>180</v>
      </c>
      <c r="B30" s="8" t="s">
        <v>175</v>
      </c>
      <c r="C30" s="8" t="s">
        <v>181</v>
      </c>
      <c r="D30" s="8" t="s">
        <v>45</v>
      </c>
      <c r="E30" s="8" t="s">
        <v>182</v>
      </c>
      <c r="F30" s="8" t="s">
        <v>183</v>
      </c>
      <c r="G30" s="8" t="s">
        <v>179</v>
      </c>
    </row>
    <row r="31" customFormat="false" ht="23.85" hidden="false" customHeight="false" outlineLevel="0" collapsed="false">
      <c r="A31" s="8" t="s">
        <v>184</v>
      </c>
      <c r="B31" s="8" t="s">
        <v>175</v>
      </c>
      <c r="C31" s="8" t="s">
        <v>185</v>
      </c>
      <c r="D31" s="8" t="s">
        <v>45</v>
      </c>
      <c r="E31" s="8" t="s">
        <v>186</v>
      </c>
      <c r="F31" s="8" t="s">
        <v>187</v>
      </c>
      <c r="G31" s="8" t="s">
        <v>179</v>
      </c>
    </row>
    <row r="32" customFormat="false" ht="23.85" hidden="false" customHeight="false" outlineLevel="0" collapsed="false">
      <c r="A32" s="8" t="s">
        <v>188</v>
      </c>
      <c r="B32" s="8" t="s">
        <v>175</v>
      </c>
      <c r="C32" s="8" t="s">
        <v>189</v>
      </c>
      <c r="D32" s="8" t="s">
        <v>67</v>
      </c>
      <c r="E32" s="8" t="s">
        <v>190</v>
      </c>
      <c r="F32" s="8" t="s">
        <v>191</v>
      </c>
      <c r="G32" s="8" t="s">
        <v>179</v>
      </c>
    </row>
    <row r="33" customFormat="false" ht="23.85" hidden="false" customHeight="false" outlineLevel="0" collapsed="false">
      <c r="A33" s="8" t="s">
        <v>192</v>
      </c>
      <c r="B33" s="8" t="s">
        <v>175</v>
      </c>
      <c r="C33" s="8" t="s">
        <v>193</v>
      </c>
      <c r="D33" s="8" t="s">
        <v>194</v>
      </c>
      <c r="E33" s="8" t="s">
        <v>195</v>
      </c>
      <c r="F33" s="8" t="s">
        <v>196</v>
      </c>
      <c r="G33" s="8" t="s">
        <v>179</v>
      </c>
    </row>
    <row r="34" customFormat="false" ht="23.85" hidden="false" customHeight="false" outlineLevel="0" collapsed="false">
      <c r="A34" s="10" t="s">
        <v>197</v>
      </c>
      <c r="B34" s="10"/>
      <c r="C34" s="10"/>
      <c r="D34" s="10"/>
      <c r="E34" s="10"/>
      <c r="F34" s="10"/>
      <c r="G34" s="10"/>
    </row>
    <row r="35" customFormat="false" ht="23.85" hidden="false" customHeight="false" outlineLevel="0" collapsed="false">
      <c r="A35" s="8" t="s">
        <v>198</v>
      </c>
      <c r="B35" s="8" t="s">
        <v>199</v>
      </c>
      <c r="C35" s="8" t="s">
        <v>200</v>
      </c>
      <c r="D35" s="8" t="s">
        <v>45</v>
      </c>
      <c r="E35" s="8" t="s">
        <v>201</v>
      </c>
      <c r="F35" s="8" t="s">
        <v>202</v>
      </c>
      <c r="G35" s="8" t="s">
        <v>179</v>
      </c>
    </row>
    <row r="36" customFormat="false" ht="23.85" hidden="false" customHeight="false" outlineLevel="0" collapsed="false">
      <c r="A36" s="8" t="s">
        <v>203</v>
      </c>
      <c r="B36" s="8" t="s">
        <v>199</v>
      </c>
      <c r="C36" s="8" t="s">
        <v>204</v>
      </c>
      <c r="D36" s="8" t="s">
        <v>45</v>
      </c>
      <c r="E36" s="8" t="s">
        <v>205</v>
      </c>
      <c r="F36" s="8" t="s">
        <v>206</v>
      </c>
      <c r="G36" s="8" t="s">
        <v>179</v>
      </c>
    </row>
    <row r="37" customFormat="false" ht="23.85" hidden="false" customHeight="false" outlineLevel="0" collapsed="false">
      <c r="A37" s="8" t="s">
        <v>207</v>
      </c>
      <c r="B37" s="8" t="s">
        <v>199</v>
      </c>
      <c r="C37" s="8" t="s">
        <v>208</v>
      </c>
      <c r="D37" s="8" t="s">
        <v>45</v>
      </c>
      <c r="E37" s="8" t="s">
        <v>209</v>
      </c>
      <c r="F37" s="8" t="s">
        <v>210</v>
      </c>
      <c r="G37" s="8" t="s">
        <v>179</v>
      </c>
    </row>
    <row r="38" customFormat="false" ht="23.85" hidden="false" customHeight="false" outlineLevel="0" collapsed="false">
      <c r="A38" s="8" t="s">
        <v>211</v>
      </c>
      <c r="B38" s="8" t="s">
        <v>199</v>
      </c>
      <c r="C38" s="8" t="s">
        <v>212</v>
      </c>
      <c r="D38" s="8" t="s">
        <v>45</v>
      </c>
      <c r="E38" s="8" t="s">
        <v>209</v>
      </c>
      <c r="F38" s="8" t="s">
        <v>213</v>
      </c>
      <c r="G38" s="8" t="s">
        <v>179</v>
      </c>
    </row>
    <row r="39" customFormat="false" ht="23.85" hidden="false" customHeight="false" outlineLevel="0" collapsed="false">
      <c r="A39" s="8" t="s">
        <v>214</v>
      </c>
      <c r="B39" s="8" t="s">
        <v>199</v>
      </c>
      <c r="C39" s="8" t="s">
        <v>215</v>
      </c>
      <c r="D39" s="8" t="s">
        <v>45</v>
      </c>
      <c r="E39" s="8" t="s">
        <v>216</v>
      </c>
      <c r="F39" s="8" t="s">
        <v>217</v>
      </c>
      <c r="G39" s="8" t="s">
        <v>179</v>
      </c>
    </row>
    <row r="40" customFormat="false" ht="23.85" hidden="false" customHeight="false" outlineLevel="0" collapsed="false">
      <c r="A40" s="10" t="s">
        <v>218</v>
      </c>
      <c r="B40" s="10"/>
      <c r="C40" s="10"/>
      <c r="D40" s="10"/>
      <c r="E40" s="10"/>
      <c r="F40" s="10"/>
      <c r="G40" s="10"/>
    </row>
    <row r="41" customFormat="false" ht="46.25" hidden="false" customHeight="false" outlineLevel="0" collapsed="false">
      <c r="A41" s="8" t="s">
        <v>219</v>
      </c>
      <c r="B41" s="8" t="s">
        <v>220</v>
      </c>
      <c r="C41" s="8" t="s">
        <v>221</v>
      </c>
      <c r="D41" s="8" t="s">
        <v>73</v>
      </c>
      <c r="E41" s="8" t="s">
        <v>222</v>
      </c>
      <c r="F41" s="8" t="s">
        <v>223</v>
      </c>
      <c r="G41" s="8" t="s">
        <v>179</v>
      </c>
    </row>
    <row r="42" customFormat="false" ht="23.85" hidden="false" customHeight="false" outlineLevel="0" collapsed="false">
      <c r="A42" s="8" t="s">
        <v>224</v>
      </c>
      <c r="B42" s="8" t="s">
        <v>220</v>
      </c>
      <c r="C42" s="8" t="s">
        <v>225</v>
      </c>
      <c r="D42" s="8" t="s">
        <v>45</v>
      </c>
      <c r="E42" s="8" t="s">
        <v>226</v>
      </c>
      <c r="F42" s="8" t="s">
        <v>227</v>
      </c>
      <c r="G42" s="8" t="s">
        <v>179</v>
      </c>
    </row>
    <row r="43" customFormat="false" ht="23.85" hidden="false" customHeight="false" outlineLevel="0" collapsed="false">
      <c r="A43" s="8" t="s">
        <v>228</v>
      </c>
      <c r="B43" s="8" t="s">
        <v>220</v>
      </c>
      <c r="C43" s="8" t="s">
        <v>229</v>
      </c>
      <c r="D43" s="8" t="s">
        <v>230</v>
      </c>
      <c r="E43" s="8" t="s">
        <v>231</v>
      </c>
      <c r="F43" s="8" t="s">
        <v>232</v>
      </c>
      <c r="G43" s="8" t="s">
        <v>179</v>
      </c>
    </row>
    <row r="44" customFormat="false" ht="23.85" hidden="false" customHeight="false" outlineLevel="0" collapsed="false">
      <c r="A44" s="8" t="s">
        <v>233</v>
      </c>
      <c r="B44" s="8" t="s">
        <v>220</v>
      </c>
      <c r="C44" s="8" t="s">
        <v>234</v>
      </c>
      <c r="D44" s="8" t="s">
        <v>45</v>
      </c>
      <c r="E44" s="8" t="s">
        <v>235</v>
      </c>
      <c r="F44" s="8" t="s">
        <v>236</v>
      </c>
      <c r="G44" s="8" t="s">
        <v>179</v>
      </c>
    </row>
    <row r="45" customFormat="false" ht="23.85" hidden="false" customHeight="false" outlineLevel="0" collapsed="false">
      <c r="A45" s="8" t="s">
        <v>237</v>
      </c>
      <c r="B45" s="8" t="s">
        <v>220</v>
      </c>
      <c r="C45" s="8" t="s">
        <v>238</v>
      </c>
      <c r="D45" s="8" t="s">
        <v>45</v>
      </c>
      <c r="E45" s="8" t="s">
        <v>239</v>
      </c>
      <c r="F45" s="8" t="s">
        <v>240</v>
      </c>
      <c r="G45" s="8" t="s">
        <v>179</v>
      </c>
    </row>
    <row r="46" customFormat="false" ht="23.85" hidden="false" customHeight="false" outlineLevel="0" collapsed="false">
      <c r="A46" s="10" t="s">
        <v>241</v>
      </c>
      <c r="B46" s="10"/>
      <c r="C46" s="10"/>
      <c r="D46" s="10"/>
      <c r="E46" s="10"/>
      <c r="F46" s="10"/>
      <c r="G46" s="10"/>
    </row>
    <row r="47" customFormat="false" ht="23.85" hidden="false" customHeight="false" outlineLevel="0" collapsed="false">
      <c r="A47" s="8" t="s">
        <v>242</v>
      </c>
      <c r="B47" s="8" t="s">
        <v>243</v>
      </c>
      <c r="C47" s="8" t="s">
        <v>244</v>
      </c>
      <c r="D47" s="8" t="s">
        <v>45</v>
      </c>
      <c r="E47" s="8" t="s">
        <v>245</v>
      </c>
      <c r="F47" s="8" t="s">
        <v>246</v>
      </c>
      <c r="G47" s="8" t="s">
        <v>179</v>
      </c>
    </row>
    <row r="48" customFormat="false" ht="23.85" hidden="false" customHeight="false" outlineLevel="0" collapsed="false">
      <c r="A48" s="8" t="s">
        <v>247</v>
      </c>
      <c r="B48" s="8" t="s">
        <v>243</v>
      </c>
      <c r="C48" s="8" t="s">
        <v>248</v>
      </c>
      <c r="D48" s="8" t="s">
        <v>45</v>
      </c>
      <c r="E48" s="8" t="s">
        <v>249</v>
      </c>
      <c r="F48" s="8" t="s">
        <v>250</v>
      </c>
      <c r="G48" s="8" t="s">
        <v>179</v>
      </c>
    </row>
    <row r="49" customFormat="false" ht="23.85" hidden="false" customHeight="false" outlineLevel="0" collapsed="false">
      <c r="A49" s="8" t="s">
        <v>251</v>
      </c>
      <c r="B49" s="8" t="s">
        <v>243</v>
      </c>
      <c r="C49" s="8" t="s">
        <v>252</v>
      </c>
      <c r="D49" s="8" t="s">
        <v>45</v>
      </c>
      <c r="E49" s="8" t="s">
        <v>253</v>
      </c>
      <c r="F49" s="8" t="s">
        <v>254</v>
      </c>
      <c r="G49" s="8" t="s">
        <v>179</v>
      </c>
    </row>
    <row r="50" customFormat="false" ht="23.85" hidden="false" customHeight="false" outlineLevel="0" collapsed="false">
      <c r="A50" s="8" t="s">
        <v>255</v>
      </c>
      <c r="B50" s="8" t="s">
        <v>243</v>
      </c>
      <c r="C50" s="8" t="s">
        <v>256</v>
      </c>
      <c r="D50" s="8" t="s">
        <v>73</v>
      </c>
      <c r="E50" s="8" t="s">
        <v>257</v>
      </c>
      <c r="F50" s="8" t="s">
        <v>258</v>
      </c>
      <c r="G50" s="8" t="s">
        <v>179</v>
      </c>
    </row>
    <row r="51" customFormat="false" ht="23.85" hidden="false" customHeight="false" outlineLevel="0" collapsed="false">
      <c r="A51" s="8" t="s">
        <v>259</v>
      </c>
      <c r="B51" s="8" t="s">
        <v>243</v>
      </c>
      <c r="C51" s="8" t="s">
        <v>260</v>
      </c>
      <c r="D51" s="8" t="s">
        <v>45</v>
      </c>
      <c r="E51" s="8" t="s">
        <v>261</v>
      </c>
      <c r="F51" s="8" t="s">
        <v>262</v>
      </c>
      <c r="G51" s="8" t="s">
        <v>179</v>
      </c>
    </row>
    <row r="52" customFormat="false" ht="23.85" hidden="false" customHeight="false" outlineLevel="0" collapsed="false">
      <c r="A52" s="10" t="s">
        <v>263</v>
      </c>
      <c r="B52" s="10"/>
      <c r="C52" s="10"/>
      <c r="D52" s="10"/>
      <c r="E52" s="10"/>
      <c r="F52" s="10"/>
      <c r="G52" s="10"/>
    </row>
    <row r="53" customFormat="false" ht="35.05" hidden="false" customHeight="false" outlineLevel="0" collapsed="false">
      <c r="A53" s="8" t="s">
        <v>264</v>
      </c>
      <c r="B53" s="8" t="s">
        <v>265</v>
      </c>
      <c r="C53" s="8" t="s">
        <v>266</v>
      </c>
      <c r="D53" s="8" t="s">
        <v>73</v>
      </c>
      <c r="E53" s="8" t="s">
        <v>267</v>
      </c>
      <c r="F53" s="8" t="s">
        <v>268</v>
      </c>
      <c r="G53" s="8" t="s">
        <v>179</v>
      </c>
    </row>
    <row r="54" customFormat="false" ht="15" hidden="false" customHeight="false" outlineLevel="0" collapsed="false">
      <c r="A54" s="8" t="s">
        <v>269</v>
      </c>
      <c r="B54" s="8" t="s">
        <v>265</v>
      </c>
      <c r="C54" s="8" t="s">
        <v>270</v>
      </c>
      <c r="D54" s="8" t="s">
        <v>230</v>
      </c>
      <c r="E54" s="8" t="s">
        <v>271</v>
      </c>
      <c r="F54" s="8" t="s">
        <v>272</v>
      </c>
      <c r="G54" s="8" t="s">
        <v>179</v>
      </c>
    </row>
    <row r="55" customFormat="false" ht="23.85" hidden="false" customHeight="false" outlineLevel="0" collapsed="false">
      <c r="A55" s="8" t="s">
        <v>273</v>
      </c>
      <c r="B55" s="8" t="s">
        <v>265</v>
      </c>
      <c r="C55" s="8" t="s">
        <v>274</v>
      </c>
      <c r="D55" s="8" t="s">
        <v>45</v>
      </c>
      <c r="E55" s="8" t="s">
        <v>275</v>
      </c>
      <c r="F55" s="8" t="s">
        <v>276</v>
      </c>
      <c r="G55" s="8" t="s">
        <v>179</v>
      </c>
    </row>
    <row r="56" customFormat="false" ht="23.85" hidden="false" customHeight="false" outlineLevel="0" collapsed="false">
      <c r="A56" s="8" t="s">
        <v>277</v>
      </c>
      <c r="B56" s="8" t="s">
        <v>265</v>
      </c>
      <c r="C56" s="8" t="s">
        <v>278</v>
      </c>
      <c r="D56" s="8" t="s">
        <v>45</v>
      </c>
      <c r="E56" s="8" t="s">
        <v>279</v>
      </c>
      <c r="F56" s="8" t="s">
        <v>280</v>
      </c>
      <c r="G56" s="8" t="s">
        <v>179</v>
      </c>
    </row>
    <row r="57" customFormat="false" ht="15" hidden="false" customHeight="false" outlineLevel="0" collapsed="false">
      <c r="A57" s="8" t="s">
        <v>281</v>
      </c>
      <c r="B57" s="8" t="s">
        <v>265</v>
      </c>
      <c r="C57" s="8" t="s">
        <v>282</v>
      </c>
      <c r="D57" s="8" t="s">
        <v>67</v>
      </c>
      <c r="E57" s="8" t="s">
        <v>283</v>
      </c>
      <c r="F57" s="8" t="s">
        <v>284</v>
      </c>
      <c r="G57" s="8" t="s">
        <v>179</v>
      </c>
    </row>
    <row r="58" customFormat="false" ht="23.85" hidden="false" customHeight="false" outlineLevel="0" collapsed="false">
      <c r="A58" s="10" t="s">
        <v>285</v>
      </c>
      <c r="B58" s="10"/>
      <c r="C58" s="10"/>
      <c r="D58" s="10"/>
      <c r="E58" s="10"/>
      <c r="F58" s="10"/>
      <c r="G58" s="10"/>
    </row>
    <row r="59" customFormat="false" ht="23.85" hidden="false" customHeight="false" outlineLevel="0" collapsed="false">
      <c r="A59" s="8" t="s">
        <v>286</v>
      </c>
      <c r="B59" s="8" t="s">
        <v>287</v>
      </c>
      <c r="C59" s="8" t="s">
        <v>288</v>
      </c>
      <c r="D59" s="8" t="s">
        <v>73</v>
      </c>
      <c r="E59" s="8" t="s">
        <v>289</v>
      </c>
      <c r="F59" s="8" t="s">
        <v>268</v>
      </c>
      <c r="G59" s="8" t="s">
        <v>179</v>
      </c>
    </row>
    <row r="60" customFormat="false" ht="15" hidden="false" customHeight="false" outlineLevel="0" collapsed="false">
      <c r="A60" s="8" t="s">
        <v>290</v>
      </c>
      <c r="B60" s="8" t="s">
        <v>287</v>
      </c>
      <c r="C60" s="8" t="s">
        <v>291</v>
      </c>
      <c r="D60" s="8" t="s">
        <v>45</v>
      </c>
      <c r="E60" s="8" t="s">
        <v>292</v>
      </c>
      <c r="F60" s="8" t="s">
        <v>293</v>
      </c>
      <c r="G60" s="8" t="s">
        <v>179</v>
      </c>
    </row>
    <row r="61" customFormat="false" ht="15" hidden="false" customHeight="false" outlineLevel="0" collapsed="false">
      <c r="A61" s="8" t="s">
        <v>294</v>
      </c>
      <c r="B61" s="8" t="s">
        <v>287</v>
      </c>
      <c r="C61" s="8" t="s">
        <v>295</v>
      </c>
      <c r="D61" s="8" t="s">
        <v>45</v>
      </c>
      <c r="E61" s="8" t="s">
        <v>296</v>
      </c>
      <c r="F61" s="8" t="s">
        <v>297</v>
      </c>
      <c r="G61" s="8" t="s">
        <v>179</v>
      </c>
    </row>
    <row r="62" customFormat="false" ht="15" hidden="false" customHeight="false" outlineLevel="0" collapsed="false">
      <c r="A62" s="8" t="s">
        <v>298</v>
      </c>
      <c r="B62" s="8" t="s">
        <v>287</v>
      </c>
      <c r="C62" s="8" t="s">
        <v>299</v>
      </c>
      <c r="D62" s="8" t="s">
        <v>230</v>
      </c>
      <c r="E62" s="8" t="s">
        <v>231</v>
      </c>
      <c r="F62" s="8" t="s">
        <v>300</v>
      </c>
      <c r="G62" s="8" t="s">
        <v>179</v>
      </c>
    </row>
    <row r="63" customFormat="false" ht="15" hidden="false" customHeight="false" outlineLevel="0" collapsed="false">
      <c r="A63" s="8" t="s">
        <v>301</v>
      </c>
      <c r="B63" s="8" t="s">
        <v>287</v>
      </c>
      <c r="C63" s="8" t="s">
        <v>302</v>
      </c>
      <c r="D63" s="8" t="s">
        <v>45</v>
      </c>
      <c r="E63" s="8" t="s">
        <v>303</v>
      </c>
      <c r="F63" s="8" t="s">
        <v>304</v>
      </c>
      <c r="G63" s="8" t="s">
        <v>179</v>
      </c>
    </row>
    <row r="64" customFormat="false" ht="15" hidden="false" customHeight="false" outlineLevel="0" collapsed="false">
      <c r="A64" s="10" t="s">
        <v>305</v>
      </c>
      <c r="B64" s="10"/>
      <c r="C64" s="10"/>
      <c r="D64" s="10"/>
      <c r="E64" s="10"/>
      <c r="F64" s="10"/>
      <c r="G64" s="10"/>
    </row>
    <row r="65" customFormat="false" ht="15" hidden="false" customHeight="false" outlineLevel="0" collapsed="false">
      <c r="A65" s="8" t="s">
        <v>306</v>
      </c>
      <c r="B65" s="8" t="s">
        <v>307</v>
      </c>
      <c r="C65" s="8" t="s">
        <v>308</v>
      </c>
      <c r="D65" s="8" t="s">
        <v>45</v>
      </c>
      <c r="E65" s="8" t="s">
        <v>309</v>
      </c>
      <c r="F65" s="8" t="s">
        <v>310</v>
      </c>
      <c r="G65" s="8" t="s">
        <v>179</v>
      </c>
    </row>
    <row r="66" customFormat="false" ht="23.85" hidden="false" customHeight="false" outlineLevel="0" collapsed="false">
      <c r="A66" s="8" t="s">
        <v>311</v>
      </c>
      <c r="B66" s="8" t="s">
        <v>307</v>
      </c>
      <c r="C66" s="8" t="s">
        <v>312</v>
      </c>
      <c r="D66" s="8" t="s">
        <v>45</v>
      </c>
      <c r="E66" s="8" t="s">
        <v>313</v>
      </c>
      <c r="F66" s="8" t="s">
        <v>314</v>
      </c>
      <c r="G66" s="8" t="s">
        <v>179</v>
      </c>
    </row>
    <row r="67" customFormat="false" ht="15" hidden="false" customHeight="false" outlineLevel="0" collapsed="false">
      <c r="A67" s="8" t="s">
        <v>315</v>
      </c>
      <c r="B67" s="8" t="s">
        <v>307</v>
      </c>
      <c r="C67" s="8" t="s">
        <v>316</v>
      </c>
      <c r="D67" s="8" t="s">
        <v>45</v>
      </c>
      <c r="E67" s="8" t="s">
        <v>317</v>
      </c>
      <c r="F67" s="8" t="s">
        <v>318</v>
      </c>
      <c r="G67" s="8" t="s">
        <v>179</v>
      </c>
    </row>
    <row r="68" customFormat="false" ht="23.85" hidden="false" customHeight="false" outlineLevel="0" collapsed="false">
      <c r="A68" s="8" t="s">
        <v>319</v>
      </c>
      <c r="B68" s="8" t="s">
        <v>307</v>
      </c>
      <c r="C68" s="8" t="s">
        <v>320</v>
      </c>
      <c r="D68" s="8" t="s">
        <v>45</v>
      </c>
      <c r="E68" s="8" t="s">
        <v>321</v>
      </c>
      <c r="F68" s="8" t="s">
        <v>322</v>
      </c>
      <c r="G68" s="8" t="s">
        <v>179</v>
      </c>
    </row>
    <row r="69" customFormat="false" ht="15" hidden="false" customHeight="false" outlineLevel="0" collapsed="false">
      <c r="A69" s="8" t="s">
        <v>323</v>
      </c>
      <c r="B69" s="8" t="s">
        <v>307</v>
      </c>
      <c r="C69" s="8" t="s">
        <v>324</v>
      </c>
      <c r="D69" s="8" t="s">
        <v>45</v>
      </c>
      <c r="E69" s="8" t="s">
        <v>325</v>
      </c>
      <c r="F69" s="8" t="s">
        <v>326</v>
      </c>
      <c r="G69" s="8" t="s">
        <v>179</v>
      </c>
    </row>
    <row r="70" customFormat="false" ht="23.85" hidden="false" customHeight="false" outlineLevel="0" collapsed="false">
      <c r="A70" s="10" t="s">
        <v>327</v>
      </c>
      <c r="B70" s="10"/>
      <c r="C70" s="10"/>
      <c r="D70" s="10"/>
      <c r="E70" s="10"/>
      <c r="F70" s="10"/>
      <c r="G70" s="10"/>
    </row>
    <row r="71" customFormat="false" ht="23.85" hidden="false" customHeight="false" outlineLevel="0" collapsed="false">
      <c r="A71" s="8" t="s">
        <v>328</v>
      </c>
      <c r="B71" s="8" t="s">
        <v>329</v>
      </c>
      <c r="C71" s="8" t="s">
        <v>330</v>
      </c>
      <c r="D71" s="8" t="s">
        <v>45</v>
      </c>
      <c r="E71" s="8" t="s">
        <v>331</v>
      </c>
      <c r="F71" s="8" t="s">
        <v>332</v>
      </c>
      <c r="G71" s="8" t="s">
        <v>179</v>
      </c>
    </row>
    <row r="72" customFormat="false" ht="23.85" hidden="false" customHeight="false" outlineLevel="0" collapsed="false">
      <c r="A72" s="8" t="s">
        <v>333</v>
      </c>
      <c r="B72" s="8" t="s">
        <v>329</v>
      </c>
      <c r="C72" s="8" t="s">
        <v>334</v>
      </c>
      <c r="D72" s="8" t="s">
        <v>73</v>
      </c>
      <c r="E72" s="8" t="s">
        <v>335</v>
      </c>
      <c r="F72" s="8" t="s">
        <v>336</v>
      </c>
      <c r="G72" s="8" t="s">
        <v>179</v>
      </c>
    </row>
    <row r="73" customFormat="false" ht="23.85" hidden="false" customHeight="false" outlineLevel="0" collapsed="false">
      <c r="A73" s="8" t="s">
        <v>337</v>
      </c>
      <c r="B73" s="8" t="s">
        <v>329</v>
      </c>
      <c r="C73" s="8" t="s">
        <v>338</v>
      </c>
      <c r="D73" s="8" t="s">
        <v>45</v>
      </c>
      <c r="E73" s="8" t="s">
        <v>339</v>
      </c>
      <c r="F73" s="8" t="s">
        <v>340</v>
      </c>
      <c r="G73" s="8" t="s">
        <v>179</v>
      </c>
    </row>
    <row r="74" customFormat="false" ht="23.85" hidden="false" customHeight="false" outlineLevel="0" collapsed="false">
      <c r="A74" s="8" t="s">
        <v>341</v>
      </c>
      <c r="B74" s="8" t="s">
        <v>329</v>
      </c>
      <c r="C74" s="8" t="s">
        <v>342</v>
      </c>
      <c r="D74" s="8" t="s">
        <v>67</v>
      </c>
      <c r="E74" s="8" t="s">
        <v>343</v>
      </c>
      <c r="F74" s="8" t="s">
        <v>344</v>
      </c>
      <c r="G74" s="8" t="s">
        <v>179</v>
      </c>
    </row>
    <row r="75" customFormat="false" ht="23.85" hidden="false" customHeight="false" outlineLevel="0" collapsed="false">
      <c r="A75" s="8" t="s">
        <v>345</v>
      </c>
      <c r="B75" s="8" t="s">
        <v>329</v>
      </c>
      <c r="C75" s="8" t="s">
        <v>346</v>
      </c>
      <c r="D75" s="8" t="s">
        <v>45</v>
      </c>
      <c r="E75" s="8" t="s">
        <v>347</v>
      </c>
      <c r="F75" s="8" t="s">
        <v>348</v>
      </c>
      <c r="G75" s="8" t="s">
        <v>179</v>
      </c>
    </row>
    <row r="76" customFormat="false" ht="23.85" hidden="false" customHeight="false" outlineLevel="0" collapsed="false">
      <c r="A76" s="10" t="s">
        <v>349</v>
      </c>
      <c r="B76" s="10"/>
      <c r="C76" s="10"/>
      <c r="D76" s="10"/>
      <c r="E76" s="10"/>
      <c r="F76" s="10"/>
      <c r="G76" s="10"/>
    </row>
    <row r="77" customFormat="false" ht="23.85" hidden="false" customHeight="false" outlineLevel="0" collapsed="false">
      <c r="A77" s="8" t="s">
        <v>350</v>
      </c>
      <c r="B77" s="8" t="s">
        <v>351</v>
      </c>
      <c r="C77" s="8" t="s">
        <v>352</v>
      </c>
      <c r="D77" s="8" t="s">
        <v>45</v>
      </c>
      <c r="E77" s="8" t="s">
        <v>353</v>
      </c>
      <c r="F77" s="8" t="s">
        <v>354</v>
      </c>
      <c r="G77" s="8" t="s">
        <v>179</v>
      </c>
    </row>
    <row r="78" customFormat="false" ht="23.85" hidden="false" customHeight="false" outlineLevel="0" collapsed="false">
      <c r="A78" s="8" t="s">
        <v>355</v>
      </c>
      <c r="B78" s="8" t="s">
        <v>351</v>
      </c>
      <c r="C78" s="8" t="s">
        <v>356</v>
      </c>
      <c r="D78" s="8" t="s">
        <v>45</v>
      </c>
      <c r="E78" s="8" t="s">
        <v>357</v>
      </c>
      <c r="F78" s="8" t="s">
        <v>358</v>
      </c>
      <c r="G78" s="8" t="s">
        <v>179</v>
      </c>
    </row>
    <row r="79" customFormat="false" ht="23.85" hidden="false" customHeight="false" outlineLevel="0" collapsed="false">
      <c r="A79" s="8" t="s">
        <v>359</v>
      </c>
      <c r="B79" s="8" t="s">
        <v>351</v>
      </c>
      <c r="C79" s="8" t="s">
        <v>360</v>
      </c>
      <c r="D79" s="8" t="s">
        <v>45</v>
      </c>
      <c r="E79" s="8" t="s">
        <v>361</v>
      </c>
      <c r="F79" s="8" t="s">
        <v>362</v>
      </c>
      <c r="G79" s="8" t="s">
        <v>179</v>
      </c>
    </row>
    <row r="80" customFormat="false" ht="23.85" hidden="false" customHeight="false" outlineLevel="0" collapsed="false">
      <c r="A80" s="8" t="s">
        <v>363</v>
      </c>
      <c r="B80" s="8" t="s">
        <v>351</v>
      </c>
      <c r="C80" s="8" t="s">
        <v>364</v>
      </c>
      <c r="D80" s="8" t="s">
        <v>45</v>
      </c>
      <c r="E80" s="8" t="s">
        <v>365</v>
      </c>
      <c r="F80" s="8" t="s">
        <v>366</v>
      </c>
      <c r="G80" s="8" t="s">
        <v>179</v>
      </c>
    </row>
    <row r="81" customFormat="false" ht="23.85" hidden="false" customHeight="false" outlineLevel="0" collapsed="false">
      <c r="A81" s="8" t="s">
        <v>367</v>
      </c>
      <c r="B81" s="8" t="s">
        <v>351</v>
      </c>
      <c r="C81" s="8" t="s">
        <v>368</v>
      </c>
      <c r="D81" s="8" t="s">
        <v>45</v>
      </c>
      <c r="E81" s="8" t="s">
        <v>369</v>
      </c>
      <c r="F81" s="8" t="s">
        <v>370</v>
      </c>
      <c r="G81" s="8" t="s">
        <v>179</v>
      </c>
    </row>
    <row r="82" customFormat="false" ht="23.85" hidden="false" customHeight="false" outlineLevel="0" collapsed="false">
      <c r="A82" s="10" t="s">
        <v>371</v>
      </c>
      <c r="B82" s="10"/>
      <c r="C82" s="10"/>
      <c r="D82" s="10"/>
      <c r="E82" s="10"/>
      <c r="F82" s="10"/>
      <c r="G82" s="10"/>
    </row>
    <row r="83" customFormat="false" ht="23.85" hidden="false" customHeight="false" outlineLevel="0" collapsed="false">
      <c r="A83" s="8" t="s">
        <v>372</v>
      </c>
      <c r="B83" s="8" t="s">
        <v>373</v>
      </c>
      <c r="C83" s="8" t="s">
        <v>374</v>
      </c>
      <c r="D83" s="8" t="s">
        <v>73</v>
      </c>
      <c r="E83" s="8" t="s">
        <v>375</v>
      </c>
      <c r="F83" s="8" t="s">
        <v>376</v>
      </c>
      <c r="G83" s="8" t="s">
        <v>179</v>
      </c>
    </row>
    <row r="84" customFormat="false" ht="23.85" hidden="false" customHeight="false" outlineLevel="0" collapsed="false">
      <c r="A84" s="8" t="s">
        <v>377</v>
      </c>
      <c r="B84" s="8" t="s">
        <v>373</v>
      </c>
      <c r="C84" s="8" t="s">
        <v>378</v>
      </c>
      <c r="D84" s="8" t="s">
        <v>45</v>
      </c>
      <c r="E84" s="8" t="s">
        <v>379</v>
      </c>
      <c r="F84" s="8" t="s">
        <v>380</v>
      </c>
      <c r="G84" s="8" t="s">
        <v>179</v>
      </c>
    </row>
    <row r="85" customFormat="false" ht="23.85" hidden="false" customHeight="false" outlineLevel="0" collapsed="false">
      <c r="A85" s="8" t="s">
        <v>381</v>
      </c>
      <c r="B85" s="8" t="s">
        <v>373</v>
      </c>
      <c r="C85" s="8" t="s">
        <v>382</v>
      </c>
      <c r="D85" s="8" t="s">
        <v>45</v>
      </c>
      <c r="E85" s="8" t="s">
        <v>383</v>
      </c>
      <c r="F85" s="8" t="s">
        <v>384</v>
      </c>
      <c r="G85" s="8" t="s">
        <v>179</v>
      </c>
    </row>
    <row r="86" customFormat="false" ht="23.85" hidden="false" customHeight="false" outlineLevel="0" collapsed="false">
      <c r="A86" s="8" t="s">
        <v>385</v>
      </c>
      <c r="B86" s="8" t="s">
        <v>373</v>
      </c>
      <c r="C86" s="8" t="s">
        <v>386</v>
      </c>
      <c r="D86" s="8" t="s">
        <v>230</v>
      </c>
      <c r="E86" s="8" t="s">
        <v>387</v>
      </c>
      <c r="F86" s="8" t="s">
        <v>388</v>
      </c>
      <c r="G86" s="8" t="s">
        <v>179</v>
      </c>
    </row>
    <row r="87" customFormat="false" ht="23.85" hidden="false" customHeight="false" outlineLevel="0" collapsed="false">
      <c r="A87" s="8" t="s">
        <v>389</v>
      </c>
      <c r="B87" s="8" t="s">
        <v>373</v>
      </c>
      <c r="C87" s="8" t="s">
        <v>390</v>
      </c>
      <c r="D87" s="8" t="s">
        <v>45</v>
      </c>
      <c r="E87" s="8" t="s">
        <v>249</v>
      </c>
      <c r="F87" s="8" t="s">
        <v>391</v>
      </c>
      <c r="G87" s="8" t="s">
        <v>179</v>
      </c>
    </row>
    <row r="88" customFormat="false" ht="35.05" hidden="false" customHeight="false" outlineLevel="0" collapsed="false">
      <c r="A88" s="10" t="s">
        <v>392</v>
      </c>
      <c r="B88" s="10"/>
      <c r="C88" s="10"/>
      <c r="D88" s="10"/>
      <c r="E88" s="10"/>
      <c r="F88" s="10"/>
      <c r="G88" s="10"/>
    </row>
    <row r="89" customFormat="false" ht="23.85" hidden="false" customHeight="false" outlineLevel="0" collapsed="false">
      <c r="A89" s="8" t="s">
        <v>393</v>
      </c>
      <c r="B89" s="8" t="s">
        <v>394</v>
      </c>
      <c r="C89" s="8" t="s">
        <v>395</v>
      </c>
      <c r="D89" s="8" t="s">
        <v>45</v>
      </c>
      <c r="E89" s="8" t="s">
        <v>396</v>
      </c>
      <c r="F89" s="8" t="s">
        <v>397</v>
      </c>
      <c r="G89" s="8" t="s">
        <v>179</v>
      </c>
    </row>
    <row r="90" customFormat="false" ht="23.85" hidden="false" customHeight="false" outlineLevel="0" collapsed="false">
      <c r="A90" s="8" t="s">
        <v>398</v>
      </c>
      <c r="B90" s="8" t="s">
        <v>394</v>
      </c>
      <c r="C90" s="8" t="s">
        <v>399</v>
      </c>
      <c r="D90" s="8" t="s">
        <v>45</v>
      </c>
      <c r="E90" s="8" t="s">
        <v>400</v>
      </c>
      <c r="F90" s="8" t="s">
        <v>401</v>
      </c>
      <c r="G90" s="8" t="s">
        <v>179</v>
      </c>
    </row>
    <row r="91" customFormat="false" ht="23.85" hidden="false" customHeight="false" outlineLevel="0" collapsed="false">
      <c r="A91" s="8" t="s">
        <v>402</v>
      </c>
      <c r="B91" s="8" t="s">
        <v>394</v>
      </c>
      <c r="C91" s="8" t="s">
        <v>403</v>
      </c>
      <c r="D91" s="8" t="s">
        <v>73</v>
      </c>
      <c r="E91" s="8" t="s">
        <v>404</v>
      </c>
      <c r="F91" s="8" t="s">
        <v>405</v>
      </c>
      <c r="G91" s="8" t="s">
        <v>179</v>
      </c>
    </row>
    <row r="92" customFormat="false" ht="23.85" hidden="false" customHeight="false" outlineLevel="0" collapsed="false">
      <c r="A92" s="8" t="s">
        <v>406</v>
      </c>
      <c r="B92" s="8" t="s">
        <v>394</v>
      </c>
      <c r="C92" s="8" t="s">
        <v>407</v>
      </c>
      <c r="D92" s="8" t="s">
        <v>45</v>
      </c>
      <c r="E92" s="8" t="s">
        <v>408</v>
      </c>
      <c r="F92" s="8" t="s">
        <v>409</v>
      </c>
      <c r="G92" s="8" t="s">
        <v>179</v>
      </c>
    </row>
    <row r="93" customFormat="false" ht="23.85" hidden="false" customHeight="false" outlineLevel="0" collapsed="false">
      <c r="A93" s="8" t="s">
        <v>410</v>
      </c>
      <c r="B93" s="8" t="s">
        <v>394</v>
      </c>
      <c r="C93" s="8" t="s">
        <v>411</v>
      </c>
      <c r="D93" s="8" t="s">
        <v>230</v>
      </c>
      <c r="E93" s="8" t="s">
        <v>412</v>
      </c>
      <c r="F93" s="8" t="s">
        <v>413</v>
      </c>
      <c r="G93" s="8" t="s">
        <v>179</v>
      </c>
    </row>
    <row r="94" customFormat="false" ht="23.85" hidden="false" customHeight="false" outlineLevel="0" collapsed="false">
      <c r="A94" s="10" t="s">
        <v>414</v>
      </c>
      <c r="B94" s="10"/>
      <c r="C94" s="10"/>
      <c r="D94" s="10"/>
      <c r="E94" s="10"/>
      <c r="F94" s="10"/>
      <c r="G94" s="10"/>
    </row>
    <row r="95" customFormat="false" ht="23.85" hidden="false" customHeight="false" outlineLevel="0" collapsed="false">
      <c r="A95" s="8" t="s">
        <v>415</v>
      </c>
      <c r="B95" s="8" t="s">
        <v>416</v>
      </c>
      <c r="C95" s="8" t="s">
        <v>417</v>
      </c>
      <c r="D95" s="8" t="s">
        <v>45</v>
      </c>
      <c r="E95" s="8" t="s">
        <v>418</v>
      </c>
      <c r="F95" s="8" t="s">
        <v>419</v>
      </c>
      <c r="G95" s="8" t="s">
        <v>179</v>
      </c>
    </row>
    <row r="96" customFormat="false" ht="23.85" hidden="false" customHeight="false" outlineLevel="0" collapsed="false">
      <c r="A96" s="8" t="s">
        <v>420</v>
      </c>
      <c r="B96" s="8" t="s">
        <v>416</v>
      </c>
      <c r="C96" s="8" t="s">
        <v>421</v>
      </c>
      <c r="D96" s="8" t="s">
        <v>45</v>
      </c>
      <c r="E96" s="8" t="s">
        <v>422</v>
      </c>
      <c r="F96" s="8" t="s">
        <v>423</v>
      </c>
      <c r="G96" s="8" t="s">
        <v>179</v>
      </c>
    </row>
    <row r="97" customFormat="false" ht="23.85" hidden="false" customHeight="false" outlineLevel="0" collapsed="false">
      <c r="A97" s="8" t="s">
        <v>424</v>
      </c>
      <c r="B97" s="8" t="s">
        <v>416</v>
      </c>
      <c r="C97" s="8" t="s">
        <v>425</v>
      </c>
      <c r="D97" s="8" t="s">
        <v>45</v>
      </c>
      <c r="E97" s="8" t="s">
        <v>426</v>
      </c>
      <c r="F97" s="8" t="s">
        <v>262</v>
      </c>
      <c r="G97" s="8" t="s">
        <v>179</v>
      </c>
    </row>
    <row r="98" customFormat="false" ht="23.85" hidden="false" customHeight="false" outlineLevel="0" collapsed="false">
      <c r="A98" s="8" t="s">
        <v>427</v>
      </c>
      <c r="B98" s="8" t="s">
        <v>416</v>
      </c>
      <c r="C98" s="8" t="s">
        <v>428</v>
      </c>
      <c r="D98" s="8" t="s">
        <v>230</v>
      </c>
      <c r="E98" s="8" t="s">
        <v>231</v>
      </c>
      <c r="F98" s="8" t="s">
        <v>429</v>
      </c>
      <c r="G98" s="8" t="s">
        <v>179</v>
      </c>
    </row>
    <row r="99" customFormat="false" ht="23.85" hidden="false" customHeight="false" outlineLevel="0" collapsed="false">
      <c r="A99" s="8" t="s">
        <v>430</v>
      </c>
      <c r="B99" s="8" t="s">
        <v>416</v>
      </c>
      <c r="C99" s="8" t="s">
        <v>431</v>
      </c>
      <c r="D99" s="8" t="s">
        <v>45</v>
      </c>
      <c r="E99" s="8" t="s">
        <v>325</v>
      </c>
      <c r="F99" s="8" t="s">
        <v>432</v>
      </c>
      <c r="G99" s="8" t="s">
        <v>179</v>
      </c>
    </row>
    <row r="100" customFormat="false" ht="15" hidden="false" customHeight="false" outlineLevel="0" collapsed="false">
      <c r="A100" s="10" t="s">
        <v>433</v>
      </c>
      <c r="B100" s="10"/>
      <c r="C100" s="10"/>
      <c r="D100" s="10"/>
      <c r="E100" s="10"/>
      <c r="F100" s="10"/>
      <c r="G100" s="10"/>
    </row>
    <row r="101" customFormat="false" ht="15" hidden="false" customHeight="false" outlineLevel="0" collapsed="false">
      <c r="A101" s="8" t="s">
        <v>434</v>
      </c>
      <c r="B101" s="8" t="s">
        <v>435</v>
      </c>
      <c r="C101" s="8" t="s">
        <v>436</v>
      </c>
      <c r="D101" s="8" t="s">
        <v>45</v>
      </c>
      <c r="E101" s="8" t="s">
        <v>437</v>
      </c>
      <c r="F101" s="8" t="s">
        <v>438</v>
      </c>
      <c r="G101" s="8" t="s">
        <v>179</v>
      </c>
    </row>
    <row r="102" customFormat="false" ht="23.85" hidden="false" customHeight="false" outlineLevel="0" collapsed="false">
      <c r="A102" s="8" t="s">
        <v>439</v>
      </c>
      <c r="B102" s="8" t="s">
        <v>435</v>
      </c>
      <c r="C102" s="8" t="s">
        <v>440</v>
      </c>
      <c r="D102" s="8" t="s">
        <v>45</v>
      </c>
      <c r="E102" s="8" t="s">
        <v>441</v>
      </c>
      <c r="F102" s="8" t="s">
        <v>262</v>
      </c>
      <c r="G102" s="8" t="s">
        <v>179</v>
      </c>
    </row>
    <row r="103" customFormat="false" ht="23.85" hidden="false" customHeight="false" outlineLevel="0" collapsed="false">
      <c r="A103" s="8" t="s">
        <v>442</v>
      </c>
      <c r="B103" s="8" t="s">
        <v>435</v>
      </c>
      <c r="C103" s="8" t="s">
        <v>443</v>
      </c>
      <c r="D103" s="8" t="s">
        <v>45</v>
      </c>
      <c r="E103" s="8" t="s">
        <v>444</v>
      </c>
      <c r="F103" s="8" t="s">
        <v>423</v>
      </c>
      <c r="G103" s="8" t="s">
        <v>179</v>
      </c>
    </row>
    <row r="104" customFormat="false" ht="15" hidden="false" customHeight="false" outlineLevel="0" collapsed="false">
      <c r="A104" s="8" t="s">
        <v>445</v>
      </c>
      <c r="B104" s="8" t="s">
        <v>435</v>
      </c>
      <c r="C104" s="8" t="s">
        <v>446</v>
      </c>
      <c r="D104" s="8" t="s">
        <v>45</v>
      </c>
      <c r="E104" s="8" t="s">
        <v>447</v>
      </c>
      <c r="F104" s="8" t="s">
        <v>448</v>
      </c>
      <c r="G104" s="8" t="s">
        <v>179</v>
      </c>
    </row>
    <row r="105" customFormat="false" ht="15" hidden="false" customHeight="false" outlineLevel="0" collapsed="false">
      <c r="A105" s="8" t="s">
        <v>449</v>
      </c>
      <c r="B105" s="8" t="s">
        <v>435</v>
      </c>
      <c r="C105" s="8" t="s">
        <v>450</v>
      </c>
      <c r="D105" s="8" t="s">
        <v>45</v>
      </c>
      <c r="E105" s="8" t="s">
        <v>249</v>
      </c>
      <c r="F105" s="8" t="s">
        <v>451</v>
      </c>
      <c r="G105" s="8" t="s">
        <v>179</v>
      </c>
    </row>
    <row r="106" customFormat="false" ht="23.85" hidden="false" customHeight="false" outlineLevel="0" collapsed="false">
      <c r="A106" s="10" t="s">
        <v>452</v>
      </c>
      <c r="B106" s="10"/>
      <c r="C106" s="10"/>
      <c r="D106" s="10"/>
      <c r="E106" s="10"/>
      <c r="F106" s="10"/>
      <c r="G106" s="10"/>
    </row>
    <row r="107" customFormat="false" ht="23.85" hidden="false" customHeight="false" outlineLevel="0" collapsed="false">
      <c r="A107" s="8" t="s">
        <v>453</v>
      </c>
      <c r="B107" s="8" t="s">
        <v>454</v>
      </c>
      <c r="C107" s="8" t="s">
        <v>455</v>
      </c>
      <c r="D107" s="8" t="s">
        <v>73</v>
      </c>
      <c r="E107" s="8" t="s">
        <v>456</v>
      </c>
      <c r="F107" s="8" t="s">
        <v>457</v>
      </c>
      <c r="G107" s="8" t="s">
        <v>179</v>
      </c>
    </row>
    <row r="108" customFormat="false" ht="23.85" hidden="false" customHeight="false" outlineLevel="0" collapsed="false">
      <c r="A108" s="8" t="s">
        <v>458</v>
      </c>
      <c r="B108" s="8" t="s">
        <v>454</v>
      </c>
      <c r="C108" s="8" t="s">
        <v>459</v>
      </c>
      <c r="D108" s="8" t="s">
        <v>45</v>
      </c>
      <c r="E108" s="8" t="s">
        <v>460</v>
      </c>
      <c r="F108" s="8" t="s">
        <v>461</v>
      </c>
      <c r="G108" s="8" t="s">
        <v>179</v>
      </c>
    </row>
    <row r="109" customFormat="false" ht="23.85" hidden="false" customHeight="false" outlineLevel="0" collapsed="false">
      <c r="A109" s="8" t="s">
        <v>462</v>
      </c>
      <c r="B109" s="8" t="s">
        <v>454</v>
      </c>
      <c r="C109" s="8" t="s">
        <v>463</v>
      </c>
      <c r="D109" s="8" t="s">
        <v>45</v>
      </c>
      <c r="E109" s="8" t="s">
        <v>464</v>
      </c>
      <c r="F109" s="8" t="s">
        <v>465</v>
      </c>
      <c r="G109" s="8" t="s">
        <v>179</v>
      </c>
    </row>
    <row r="110" customFormat="false" ht="23.85" hidden="false" customHeight="false" outlineLevel="0" collapsed="false">
      <c r="A110" s="8" t="s">
        <v>466</v>
      </c>
      <c r="B110" s="8" t="s">
        <v>454</v>
      </c>
      <c r="C110" s="8" t="s">
        <v>467</v>
      </c>
      <c r="D110" s="8" t="s">
        <v>45</v>
      </c>
      <c r="E110" s="8" t="s">
        <v>468</v>
      </c>
      <c r="F110" s="8" t="s">
        <v>469</v>
      </c>
      <c r="G110" s="8" t="s">
        <v>179</v>
      </c>
    </row>
    <row r="111" customFormat="false" ht="23.85" hidden="false" customHeight="false" outlineLevel="0" collapsed="false">
      <c r="A111" s="8" t="s">
        <v>470</v>
      </c>
      <c r="B111" s="8" t="s">
        <v>454</v>
      </c>
      <c r="C111" s="8" t="s">
        <v>471</v>
      </c>
      <c r="D111" s="8" t="s">
        <v>45</v>
      </c>
      <c r="E111" s="8" t="s">
        <v>472</v>
      </c>
      <c r="F111" s="8" t="s">
        <v>473</v>
      </c>
      <c r="G111" s="8" t="s">
        <v>179</v>
      </c>
    </row>
    <row r="112" customFormat="false" ht="35.05" hidden="false" customHeight="false" outlineLevel="0" collapsed="false">
      <c r="A112" s="10" t="s">
        <v>474</v>
      </c>
      <c r="B112" s="10"/>
      <c r="C112" s="10"/>
      <c r="D112" s="10"/>
      <c r="E112" s="10"/>
      <c r="F112" s="10"/>
      <c r="G112" s="10"/>
    </row>
    <row r="113" customFormat="false" ht="23.85" hidden="false" customHeight="false" outlineLevel="0" collapsed="false">
      <c r="A113" s="8" t="s">
        <v>475</v>
      </c>
      <c r="B113" s="8" t="s">
        <v>476</v>
      </c>
      <c r="C113" s="8" t="s">
        <v>477</v>
      </c>
      <c r="D113" s="8" t="s">
        <v>73</v>
      </c>
      <c r="E113" s="8" t="s">
        <v>478</v>
      </c>
      <c r="F113" s="8" t="s">
        <v>479</v>
      </c>
      <c r="G113" s="8" t="s">
        <v>179</v>
      </c>
    </row>
    <row r="114" customFormat="false" ht="23.85" hidden="false" customHeight="false" outlineLevel="0" collapsed="false">
      <c r="A114" s="8" t="s">
        <v>480</v>
      </c>
      <c r="B114" s="8" t="s">
        <v>476</v>
      </c>
      <c r="C114" s="8" t="s">
        <v>481</v>
      </c>
      <c r="D114" s="8" t="s">
        <v>230</v>
      </c>
      <c r="E114" s="8" t="s">
        <v>387</v>
      </c>
      <c r="F114" s="8" t="s">
        <v>388</v>
      </c>
      <c r="G114" s="8" t="s">
        <v>179</v>
      </c>
    </row>
    <row r="115" customFormat="false" ht="23.85" hidden="false" customHeight="false" outlineLevel="0" collapsed="false">
      <c r="A115" s="8" t="s">
        <v>482</v>
      </c>
      <c r="B115" s="8" t="s">
        <v>476</v>
      </c>
      <c r="C115" s="8" t="s">
        <v>483</v>
      </c>
      <c r="D115" s="8" t="s">
        <v>45</v>
      </c>
      <c r="E115" s="8" t="s">
        <v>484</v>
      </c>
      <c r="F115" s="8" t="s">
        <v>485</v>
      </c>
      <c r="G115" s="8" t="s">
        <v>179</v>
      </c>
    </row>
    <row r="116" customFormat="false" ht="23.85" hidden="false" customHeight="false" outlineLevel="0" collapsed="false">
      <c r="A116" s="8" t="s">
        <v>486</v>
      </c>
      <c r="B116" s="8" t="s">
        <v>476</v>
      </c>
      <c r="C116" s="8" t="s">
        <v>487</v>
      </c>
      <c r="D116" s="8" t="s">
        <v>45</v>
      </c>
      <c r="E116" s="8" t="s">
        <v>488</v>
      </c>
      <c r="F116" s="8" t="s">
        <v>489</v>
      </c>
      <c r="G116" s="8" t="s">
        <v>179</v>
      </c>
    </row>
    <row r="117" customFormat="false" ht="23.85" hidden="false" customHeight="false" outlineLevel="0" collapsed="false">
      <c r="A117" s="8" t="s">
        <v>490</v>
      </c>
      <c r="B117" s="8" t="s">
        <v>476</v>
      </c>
      <c r="C117" s="8" t="s">
        <v>491</v>
      </c>
      <c r="D117" s="8" t="s">
        <v>45</v>
      </c>
      <c r="E117" s="8" t="s">
        <v>484</v>
      </c>
      <c r="F117" s="8" t="s">
        <v>492</v>
      </c>
      <c r="G117" s="8" t="s">
        <v>179</v>
      </c>
    </row>
    <row r="118" customFormat="false" ht="35.05" hidden="false" customHeight="false" outlineLevel="0" collapsed="false">
      <c r="A118" s="10" t="s">
        <v>493</v>
      </c>
      <c r="B118" s="10"/>
      <c r="C118" s="10"/>
      <c r="D118" s="10"/>
      <c r="E118" s="10"/>
      <c r="F118" s="10"/>
      <c r="G118" s="10"/>
    </row>
    <row r="119" customFormat="false" ht="23.85" hidden="false" customHeight="false" outlineLevel="0" collapsed="false">
      <c r="A119" s="8" t="s">
        <v>494</v>
      </c>
      <c r="B119" s="8" t="s">
        <v>495</v>
      </c>
      <c r="C119" s="8" t="s">
        <v>496</v>
      </c>
      <c r="D119" s="8" t="s">
        <v>45</v>
      </c>
      <c r="E119" s="8" t="s">
        <v>497</v>
      </c>
      <c r="F119" s="8" t="s">
        <v>498</v>
      </c>
      <c r="G119" s="8" t="s">
        <v>179</v>
      </c>
    </row>
    <row r="120" customFormat="false" ht="23.85" hidden="false" customHeight="false" outlineLevel="0" collapsed="false">
      <c r="A120" s="8" t="s">
        <v>499</v>
      </c>
      <c r="B120" s="8" t="s">
        <v>495</v>
      </c>
      <c r="C120" s="8" t="s">
        <v>500</v>
      </c>
      <c r="D120" s="8" t="s">
        <v>45</v>
      </c>
      <c r="E120" s="8" t="s">
        <v>501</v>
      </c>
      <c r="F120" s="8" t="s">
        <v>502</v>
      </c>
      <c r="G120" s="8" t="s">
        <v>179</v>
      </c>
    </row>
    <row r="121" customFormat="false" ht="23.85" hidden="false" customHeight="false" outlineLevel="0" collapsed="false">
      <c r="A121" s="8" t="s">
        <v>503</v>
      </c>
      <c r="B121" s="8" t="s">
        <v>495</v>
      </c>
      <c r="C121" s="8" t="s">
        <v>504</v>
      </c>
      <c r="D121" s="8" t="s">
        <v>45</v>
      </c>
      <c r="E121" s="8" t="s">
        <v>505</v>
      </c>
      <c r="F121" s="8" t="s">
        <v>506</v>
      </c>
      <c r="G121" s="8" t="s">
        <v>179</v>
      </c>
    </row>
    <row r="122" customFormat="false" ht="23.85" hidden="false" customHeight="false" outlineLevel="0" collapsed="false">
      <c r="A122" s="8" t="s">
        <v>507</v>
      </c>
      <c r="B122" s="8" t="s">
        <v>495</v>
      </c>
      <c r="C122" s="8" t="s">
        <v>508</v>
      </c>
      <c r="D122" s="8" t="s">
        <v>45</v>
      </c>
      <c r="E122" s="8" t="s">
        <v>505</v>
      </c>
      <c r="F122" s="8" t="s">
        <v>509</v>
      </c>
      <c r="G122" s="8" t="s">
        <v>179</v>
      </c>
    </row>
    <row r="123" customFormat="false" ht="23.85" hidden="false" customHeight="false" outlineLevel="0" collapsed="false">
      <c r="A123" s="8" t="s">
        <v>510</v>
      </c>
      <c r="B123" s="8" t="s">
        <v>495</v>
      </c>
      <c r="C123" s="8" t="s">
        <v>511</v>
      </c>
      <c r="D123" s="8" t="s">
        <v>45</v>
      </c>
      <c r="E123" s="8" t="s">
        <v>303</v>
      </c>
      <c r="F123" s="8" t="s">
        <v>512</v>
      </c>
      <c r="G123" s="8" t="s">
        <v>179</v>
      </c>
    </row>
    <row r="124" customFormat="false" ht="46.25" hidden="false" customHeight="false" outlineLevel="0" collapsed="false">
      <c r="A124" s="10" t="s">
        <v>513</v>
      </c>
      <c r="B124" s="10"/>
      <c r="C124" s="10"/>
      <c r="D124" s="10"/>
      <c r="E124" s="10"/>
      <c r="F124" s="10"/>
      <c r="G124" s="10"/>
    </row>
    <row r="125" customFormat="false" ht="35.05" hidden="false" customHeight="false" outlineLevel="0" collapsed="false">
      <c r="A125" s="8" t="s">
        <v>514</v>
      </c>
      <c r="B125" s="8" t="s">
        <v>515</v>
      </c>
      <c r="C125" s="8" t="s">
        <v>516</v>
      </c>
      <c r="D125" s="8" t="s">
        <v>45</v>
      </c>
      <c r="E125" s="8" t="s">
        <v>517</v>
      </c>
      <c r="F125" s="8" t="s">
        <v>498</v>
      </c>
      <c r="G125" s="8" t="s">
        <v>179</v>
      </c>
    </row>
    <row r="126" customFormat="false" ht="35.05" hidden="false" customHeight="false" outlineLevel="0" collapsed="false">
      <c r="A126" s="8" t="s">
        <v>518</v>
      </c>
      <c r="B126" s="8" t="s">
        <v>515</v>
      </c>
      <c r="C126" s="8" t="s">
        <v>519</v>
      </c>
      <c r="D126" s="8" t="s">
        <v>45</v>
      </c>
      <c r="E126" s="8" t="s">
        <v>520</v>
      </c>
      <c r="F126" s="8" t="s">
        <v>521</v>
      </c>
      <c r="G126" s="8" t="s">
        <v>179</v>
      </c>
    </row>
    <row r="127" customFormat="false" ht="35.05" hidden="false" customHeight="false" outlineLevel="0" collapsed="false">
      <c r="A127" s="8" t="s">
        <v>522</v>
      </c>
      <c r="B127" s="8" t="s">
        <v>515</v>
      </c>
      <c r="C127" s="8" t="s">
        <v>523</v>
      </c>
      <c r="D127" s="8" t="s">
        <v>45</v>
      </c>
      <c r="E127" s="8" t="s">
        <v>524</v>
      </c>
      <c r="F127" s="8" t="s">
        <v>525</v>
      </c>
      <c r="G127" s="8" t="s">
        <v>179</v>
      </c>
    </row>
    <row r="128" customFormat="false" ht="35.05" hidden="false" customHeight="false" outlineLevel="0" collapsed="false">
      <c r="A128" s="8" t="s">
        <v>526</v>
      </c>
      <c r="B128" s="8" t="s">
        <v>515</v>
      </c>
      <c r="C128" s="8" t="s">
        <v>527</v>
      </c>
      <c r="D128" s="8" t="s">
        <v>45</v>
      </c>
      <c r="E128" s="8" t="s">
        <v>528</v>
      </c>
      <c r="F128" s="8" t="s">
        <v>529</v>
      </c>
      <c r="G128" s="8" t="s">
        <v>179</v>
      </c>
    </row>
    <row r="129" customFormat="false" ht="35.05" hidden="false" customHeight="false" outlineLevel="0" collapsed="false">
      <c r="A129" s="8" t="s">
        <v>530</v>
      </c>
      <c r="B129" s="8" t="s">
        <v>515</v>
      </c>
      <c r="C129" s="8" t="s">
        <v>531</v>
      </c>
      <c r="D129" s="8" t="s">
        <v>45</v>
      </c>
      <c r="E129" s="8" t="s">
        <v>472</v>
      </c>
      <c r="F129" s="8" t="s">
        <v>532</v>
      </c>
      <c r="G129" s="8" t="s">
        <v>179</v>
      </c>
    </row>
    <row r="130" customFormat="false" ht="46.25" hidden="false" customHeight="false" outlineLevel="0" collapsed="false">
      <c r="A130" s="10" t="s">
        <v>533</v>
      </c>
      <c r="B130" s="10"/>
      <c r="C130" s="10"/>
      <c r="D130" s="10"/>
      <c r="E130" s="10"/>
      <c r="F130" s="10"/>
      <c r="G130" s="10"/>
    </row>
    <row r="131" customFormat="false" ht="35.05" hidden="false" customHeight="false" outlineLevel="0" collapsed="false">
      <c r="A131" s="8" t="s">
        <v>534</v>
      </c>
      <c r="B131" s="8" t="s">
        <v>535</v>
      </c>
      <c r="C131" s="8" t="s">
        <v>536</v>
      </c>
      <c r="D131" s="8" t="s">
        <v>45</v>
      </c>
      <c r="E131" s="8" t="s">
        <v>537</v>
      </c>
      <c r="F131" s="8" t="s">
        <v>536</v>
      </c>
      <c r="G131" s="8" t="s">
        <v>179</v>
      </c>
    </row>
    <row r="132" customFormat="false" ht="35.05" hidden="false" customHeight="false" outlineLevel="0" collapsed="false">
      <c r="A132" s="8" t="s">
        <v>538</v>
      </c>
      <c r="B132" s="8" t="s">
        <v>535</v>
      </c>
      <c r="C132" s="8" t="s">
        <v>539</v>
      </c>
      <c r="D132" s="8" t="s">
        <v>45</v>
      </c>
      <c r="E132" s="8" t="s">
        <v>540</v>
      </c>
      <c r="F132" s="8" t="s">
        <v>541</v>
      </c>
      <c r="G132" s="8" t="s">
        <v>179</v>
      </c>
    </row>
    <row r="133" customFormat="false" ht="35.05" hidden="false" customHeight="false" outlineLevel="0" collapsed="false">
      <c r="A133" s="8" t="s">
        <v>542</v>
      </c>
      <c r="B133" s="8" t="s">
        <v>535</v>
      </c>
      <c r="C133" s="8" t="s">
        <v>543</v>
      </c>
      <c r="D133" s="8" t="s">
        <v>45</v>
      </c>
      <c r="E133" s="8" t="s">
        <v>544</v>
      </c>
      <c r="F133" s="8" t="s">
        <v>545</v>
      </c>
      <c r="G133" s="8" t="s">
        <v>179</v>
      </c>
    </row>
    <row r="134" customFormat="false" ht="35.05" hidden="false" customHeight="false" outlineLevel="0" collapsed="false">
      <c r="A134" s="8" t="s">
        <v>546</v>
      </c>
      <c r="B134" s="8" t="s">
        <v>535</v>
      </c>
      <c r="C134" s="8" t="s">
        <v>547</v>
      </c>
      <c r="D134" s="8" t="s">
        <v>45</v>
      </c>
      <c r="E134" s="8" t="s">
        <v>548</v>
      </c>
      <c r="F134" s="8" t="s">
        <v>549</v>
      </c>
      <c r="G134" s="8" t="s">
        <v>179</v>
      </c>
    </row>
    <row r="135" customFormat="false" ht="35.05" hidden="false" customHeight="false" outlineLevel="0" collapsed="false">
      <c r="A135" s="8" t="s">
        <v>550</v>
      </c>
      <c r="B135" s="8" t="s">
        <v>535</v>
      </c>
      <c r="C135" s="8" t="s">
        <v>551</v>
      </c>
      <c r="D135" s="8" t="s">
        <v>45</v>
      </c>
      <c r="E135" s="8" t="s">
        <v>552</v>
      </c>
      <c r="F135" s="8" t="s">
        <v>553</v>
      </c>
      <c r="G135" s="8" t="s">
        <v>179</v>
      </c>
    </row>
    <row r="136" customFormat="false" ht="35.05" hidden="false" customHeight="false" outlineLevel="0" collapsed="false">
      <c r="A136" s="10" t="s">
        <v>554</v>
      </c>
      <c r="B136" s="10"/>
      <c r="C136" s="10"/>
      <c r="D136" s="10"/>
      <c r="E136" s="10"/>
      <c r="F136" s="10"/>
      <c r="G136" s="10"/>
    </row>
    <row r="137" customFormat="false" ht="23.85" hidden="false" customHeight="false" outlineLevel="0" collapsed="false">
      <c r="A137" s="8" t="s">
        <v>555</v>
      </c>
      <c r="B137" s="8" t="s">
        <v>556</v>
      </c>
      <c r="C137" s="8" t="s">
        <v>557</v>
      </c>
      <c r="D137" s="8" t="s">
        <v>45</v>
      </c>
      <c r="E137" s="8" t="s">
        <v>558</v>
      </c>
      <c r="F137" s="8" t="s">
        <v>559</v>
      </c>
      <c r="G137" s="8" t="s">
        <v>179</v>
      </c>
    </row>
    <row r="138" customFormat="false" ht="23.85" hidden="false" customHeight="false" outlineLevel="0" collapsed="false">
      <c r="A138" s="8" t="s">
        <v>560</v>
      </c>
      <c r="B138" s="8" t="s">
        <v>556</v>
      </c>
      <c r="C138" s="8" t="s">
        <v>561</v>
      </c>
      <c r="D138" s="8" t="s">
        <v>45</v>
      </c>
      <c r="E138" s="8" t="s">
        <v>524</v>
      </c>
      <c r="F138" s="8" t="s">
        <v>562</v>
      </c>
      <c r="G138" s="8" t="s">
        <v>179</v>
      </c>
    </row>
    <row r="139" customFormat="false" ht="23.85" hidden="false" customHeight="false" outlineLevel="0" collapsed="false">
      <c r="A139" s="8" t="s">
        <v>563</v>
      </c>
      <c r="B139" s="8" t="s">
        <v>556</v>
      </c>
      <c r="C139" s="8" t="s">
        <v>564</v>
      </c>
      <c r="D139" s="8" t="s">
        <v>45</v>
      </c>
      <c r="E139" s="8" t="s">
        <v>524</v>
      </c>
      <c r="F139" s="8" t="s">
        <v>565</v>
      </c>
      <c r="G139" s="8" t="s">
        <v>179</v>
      </c>
    </row>
    <row r="140" customFormat="false" ht="23.85" hidden="false" customHeight="false" outlineLevel="0" collapsed="false">
      <c r="A140" s="8" t="s">
        <v>566</v>
      </c>
      <c r="B140" s="8" t="s">
        <v>556</v>
      </c>
      <c r="C140" s="8" t="s">
        <v>567</v>
      </c>
      <c r="D140" s="8" t="s">
        <v>45</v>
      </c>
      <c r="E140" s="8" t="s">
        <v>568</v>
      </c>
      <c r="F140" s="8" t="s">
        <v>569</v>
      </c>
      <c r="G140" s="8" t="s">
        <v>179</v>
      </c>
    </row>
    <row r="141" customFormat="false" ht="23.85" hidden="false" customHeight="false" outlineLevel="0" collapsed="false">
      <c r="A141" s="8" t="s">
        <v>570</v>
      </c>
      <c r="B141" s="8" t="s">
        <v>556</v>
      </c>
      <c r="C141" s="8" t="s">
        <v>571</v>
      </c>
      <c r="D141" s="8" t="s">
        <v>45</v>
      </c>
      <c r="E141" s="8" t="s">
        <v>572</v>
      </c>
      <c r="F141" s="8" t="s">
        <v>573</v>
      </c>
      <c r="G141" s="8" t="s">
        <v>179</v>
      </c>
    </row>
    <row r="142" customFormat="false" ht="57.45" hidden="false" customHeight="false" outlineLevel="0" collapsed="false">
      <c r="A142" s="10" t="s">
        <v>574</v>
      </c>
      <c r="B142" s="10"/>
      <c r="C142" s="10"/>
      <c r="D142" s="10"/>
      <c r="E142" s="10"/>
      <c r="F142" s="10"/>
      <c r="G142" s="10"/>
    </row>
    <row r="143" customFormat="false" ht="23.85" hidden="false" customHeight="false" outlineLevel="0" collapsed="false">
      <c r="A143" s="8" t="s">
        <v>575</v>
      </c>
      <c r="B143" s="8" t="s">
        <v>576</v>
      </c>
      <c r="C143" s="8" t="s">
        <v>354</v>
      </c>
      <c r="D143" s="8" t="s">
        <v>45</v>
      </c>
      <c r="E143" s="8" t="s">
        <v>577</v>
      </c>
      <c r="F143" s="8" t="s">
        <v>498</v>
      </c>
      <c r="G143" s="8" t="s">
        <v>179</v>
      </c>
    </row>
    <row r="144" customFormat="false" ht="23.85" hidden="false" customHeight="false" outlineLevel="0" collapsed="false">
      <c r="A144" s="8" t="s">
        <v>578</v>
      </c>
      <c r="B144" s="8" t="s">
        <v>576</v>
      </c>
      <c r="C144" s="8" t="s">
        <v>579</v>
      </c>
      <c r="D144" s="8" t="s">
        <v>45</v>
      </c>
      <c r="E144" s="8" t="s">
        <v>580</v>
      </c>
      <c r="F144" s="8" t="s">
        <v>581</v>
      </c>
      <c r="G144" s="8" t="s">
        <v>179</v>
      </c>
    </row>
    <row r="145" customFormat="false" ht="23.85" hidden="false" customHeight="false" outlineLevel="0" collapsed="false">
      <c r="A145" s="8" t="s">
        <v>582</v>
      </c>
      <c r="B145" s="8" t="s">
        <v>576</v>
      </c>
      <c r="C145" s="8" t="s">
        <v>583</v>
      </c>
      <c r="D145" s="8" t="s">
        <v>45</v>
      </c>
      <c r="E145" s="8" t="s">
        <v>484</v>
      </c>
      <c r="F145" s="8" t="s">
        <v>492</v>
      </c>
      <c r="G145" s="8" t="s">
        <v>179</v>
      </c>
    </row>
    <row r="146" customFormat="false" ht="23.85" hidden="false" customHeight="false" outlineLevel="0" collapsed="false">
      <c r="A146" s="8" t="s">
        <v>584</v>
      </c>
      <c r="B146" s="8" t="s">
        <v>576</v>
      </c>
      <c r="C146" s="8" t="s">
        <v>585</v>
      </c>
      <c r="D146" s="8" t="s">
        <v>45</v>
      </c>
      <c r="E146" s="8" t="s">
        <v>586</v>
      </c>
      <c r="F146" s="8" t="s">
        <v>587</v>
      </c>
      <c r="G146" s="8" t="s">
        <v>179</v>
      </c>
    </row>
    <row r="147" customFormat="false" ht="23.85" hidden="false" customHeight="false" outlineLevel="0" collapsed="false">
      <c r="A147" s="8" t="s">
        <v>588</v>
      </c>
      <c r="B147" s="8" t="s">
        <v>576</v>
      </c>
      <c r="C147" s="8" t="s">
        <v>589</v>
      </c>
      <c r="D147" s="8" t="s">
        <v>45</v>
      </c>
      <c r="E147" s="8" t="s">
        <v>552</v>
      </c>
      <c r="F147" s="8" t="s">
        <v>590</v>
      </c>
      <c r="G147" s="8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7" t="s">
        <v>591</v>
      </c>
      <c r="B1" s="7" t="s">
        <v>592</v>
      </c>
      <c r="C1" s="7" t="s">
        <v>593</v>
      </c>
      <c r="D1" s="7" t="s">
        <v>594</v>
      </c>
    </row>
    <row r="2" customFormat="false" ht="15" hidden="false" customHeight="false" outlineLevel="0" collapsed="false">
      <c r="A2" s="8" t="s">
        <v>595</v>
      </c>
      <c r="B2" s="8" t="s">
        <v>596</v>
      </c>
      <c r="C2" s="8" t="n">
        <v>5</v>
      </c>
      <c r="D2" s="8" t="s">
        <v>597</v>
      </c>
    </row>
    <row r="3" customFormat="false" ht="15" hidden="false" customHeight="false" outlineLevel="0" collapsed="false">
      <c r="A3" s="8" t="s">
        <v>598</v>
      </c>
      <c r="B3" s="8" t="s">
        <v>599</v>
      </c>
      <c r="C3" s="8" t="n">
        <v>5</v>
      </c>
      <c r="D3" s="8" t="s">
        <v>600</v>
      </c>
    </row>
    <row r="4" customFormat="false" ht="15" hidden="false" customHeight="false" outlineLevel="0" collapsed="false">
      <c r="A4" s="8" t="s">
        <v>601</v>
      </c>
      <c r="B4" s="8" t="s">
        <v>602</v>
      </c>
      <c r="C4" s="8" t="n">
        <v>5</v>
      </c>
      <c r="D4" s="8" t="s">
        <v>603</v>
      </c>
    </row>
    <row r="5" customFormat="false" ht="15" hidden="false" customHeight="false" outlineLevel="0" collapsed="false">
      <c r="A5" s="8" t="s">
        <v>604</v>
      </c>
      <c r="B5" s="8" t="s">
        <v>605</v>
      </c>
      <c r="C5" s="8" t="n">
        <v>5</v>
      </c>
      <c r="D5" s="8" t="s">
        <v>606</v>
      </c>
    </row>
    <row r="6" customFormat="false" ht="15" hidden="false" customHeight="false" outlineLevel="0" collapsed="false">
      <c r="A6" s="8" t="s">
        <v>607</v>
      </c>
      <c r="B6" s="8" t="s">
        <v>608</v>
      </c>
      <c r="C6" s="8" t="n">
        <v>5</v>
      </c>
      <c r="D6" s="8" t="s">
        <v>609</v>
      </c>
    </row>
    <row r="7" customFormat="false" ht="15" hidden="false" customHeight="false" outlineLevel="0" collapsed="false">
      <c r="A7" s="8" t="s">
        <v>610</v>
      </c>
      <c r="B7" s="8" t="s">
        <v>611</v>
      </c>
      <c r="C7" s="8" t="n">
        <v>5</v>
      </c>
      <c r="D7" s="8" t="s">
        <v>612</v>
      </c>
    </row>
    <row r="8" customFormat="false" ht="15" hidden="false" customHeight="false" outlineLevel="0" collapsed="false">
      <c r="A8" s="8" t="s">
        <v>613</v>
      </c>
      <c r="B8" s="8" t="s">
        <v>614</v>
      </c>
      <c r="C8" s="8" t="n">
        <v>5</v>
      </c>
      <c r="D8" s="8" t="s">
        <v>615</v>
      </c>
    </row>
    <row r="9" customFormat="false" ht="15" hidden="false" customHeight="false" outlineLevel="0" collapsed="false">
      <c r="A9" s="8" t="s">
        <v>616</v>
      </c>
      <c r="B9" s="8" t="s">
        <v>617</v>
      </c>
      <c r="C9" s="8" t="n">
        <v>5</v>
      </c>
      <c r="D9" s="8" t="s">
        <v>618</v>
      </c>
    </row>
    <row r="10" customFormat="false" ht="15" hidden="false" customHeight="false" outlineLevel="0" collapsed="false">
      <c r="A10" s="8" t="s">
        <v>619</v>
      </c>
      <c r="B10" s="8" t="s">
        <v>620</v>
      </c>
      <c r="C10" s="8" t="n">
        <v>5</v>
      </c>
      <c r="D10" s="8" t="s">
        <v>621</v>
      </c>
    </row>
    <row r="11" customFormat="false" ht="15" hidden="false" customHeight="false" outlineLevel="0" collapsed="false">
      <c r="A11" s="8" t="s">
        <v>622</v>
      </c>
      <c r="B11" s="8" t="s">
        <v>623</v>
      </c>
      <c r="C11" s="8" t="n">
        <v>5</v>
      </c>
      <c r="D11" s="8" t="s">
        <v>624</v>
      </c>
    </row>
    <row r="12" customFormat="false" ht="15" hidden="false" customHeight="false" outlineLevel="0" collapsed="false">
      <c r="A12" s="8" t="s">
        <v>625</v>
      </c>
      <c r="B12" s="8" t="s">
        <v>626</v>
      </c>
      <c r="C12" s="8" t="n">
        <v>5</v>
      </c>
      <c r="D12" s="8" t="s">
        <v>627</v>
      </c>
    </row>
    <row r="13" customFormat="false" ht="15" hidden="false" customHeight="false" outlineLevel="0" collapsed="false">
      <c r="A13" s="8" t="s">
        <v>628</v>
      </c>
      <c r="B13" s="8" t="s">
        <v>629</v>
      </c>
      <c r="C13" s="8" t="n">
        <v>5</v>
      </c>
      <c r="D13" s="8" t="s">
        <v>630</v>
      </c>
    </row>
    <row r="14" customFormat="false" ht="15" hidden="false" customHeight="false" outlineLevel="0" collapsed="false">
      <c r="A14" s="8" t="s">
        <v>631</v>
      </c>
      <c r="B14" s="8" t="s">
        <v>632</v>
      </c>
      <c r="C14" s="8" t="n">
        <v>5</v>
      </c>
      <c r="D14" s="8" t="s">
        <v>633</v>
      </c>
    </row>
    <row r="15" customFormat="false" ht="15" hidden="false" customHeight="false" outlineLevel="0" collapsed="false">
      <c r="A15" s="8" t="s">
        <v>634</v>
      </c>
      <c r="B15" s="8" t="s">
        <v>635</v>
      </c>
      <c r="C15" s="8" t="n">
        <v>5</v>
      </c>
      <c r="D15" s="8" t="s">
        <v>636</v>
      </c>
    </row>
    <row r="16" customFormat="false" ht="15" hidden="false" customHeight="false" outlineLevel="0" collapsed="false">
      <c r="A16" s="8" t="s">
        <v>637</v>
      </c>
      <c r="B16" s="8" t="s">
        <v>638</v>
      </c>
      <c r="C16" s="8" t="n">
        <v>5</v>
      </c>
      <c r="D16" s="8" t="s">
        <v>639</v>
      </c>
    </row>
    <row r="17" customFormat="false" ht="15" hidden="false" customHeight="false" outlineLevel="0" collapsed="false">
      <c r="A17" s="8" t="s">
        <v>640</v>
      </c>
      <c r="B17" s="8" t="s">
        <v>641</v>
      </c>
      <c r="C17" s="8" t="n">
        <v>5</v>
      </c>
      <c r="D17" s="8" t="s">
        <v>642</v>
      </c>
    </row>
    <row r="18" customFormat="false" ht="15" hidden="false" customHeight="false" outlineLevel="0" collapsed="false">
      <c r="A18" s="8" t="s">
        <v>643</v>
      </c>
      <c r="B18" s="8" t="s">
        <v>644</v>
      </c>
      <c r="C18" s="8" t="n">
        <v>5</v>
      </c>
      <c r="D18" s="8" t="s">
        <v>645</v>
      </c>
    </row>
    <row r="19" customFormat="false" ht="15" hidden="false" customHeight="false" outlineLevel="0" collapsed="false">
      <c r="A19" s="8" t="s">
        <v>646</v>
      </c>
      <c r="B19" s="8" t="s">
        <v>647</v>
      </c>
      <c r="C19" s="8" t="n">
        <v>5</v>
      </c>
      <c r="D19" s="8" t="s">
        <v>648</v>
      </c>
    </row>
    <row r="20" customFormat="false" ht="15" hidden="false" customHeight="false" outlineLevel="0" collapsed="false">
      <c r="A20" s="8" t="s">
        <v>649</v>
      </c>
      <c r="B20" s="8" t="s">
        <v>650</v>
      </c>
      <c r="C20" s="8" t="n">
        <v>5</v>
      </c>
      <c r="D20" s="8" t="s">
        <v>651</v>
      </c>
    </row>
    <row r="21" customFormat="false" ht="15" hidden="false" customHeight="false" outlineLevel="0" collapsed="false">
      <c r="A21" s="8" t="s">
        <v>652</v>
      </c>
      <c r="B21" s="8" t="s">
        <v>653</v>
      </c>
      <c r="C21" s="8" t="n">
        <v>5</v>
      </c>
      <c r="D21" s="8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4" min="14" style="0" width="32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</cols>
  <sheetData>
    <row r="1" customFormat="false" ht="17.35" hidden="false" customHeight="false" outlineLevel="0" collapsed="false">
      <c r="A1" s="6" t="s">
        <v>655</v>
      </c>
    </row>
    <row r="3" customFormat="false" ht="15" hidden="false" customHeight="false" outlineLevel="0" collapsed="false">
      <c r="A3" s="3" t="s">
        <v>656</v>
      </c>
      <c r="B3" s="0" t="n">
        <v>200</v>
      </c>
    </row>
    <row r="4" customFormat="false" ht="15" hidden="false" customHeight="false" outlineLevel="0" collapsed="false">
      <c r="A4" s="3" t="s">
        <v>657</v>
      </c>
      <c r="B4" s="0" t="n">
        <f aca="false">COUNTIF(I:I, "Invited")+COUNTIF(I:I, "Reminded")+COUNTIF(I:I, "Qualified")+COUNTIF(I:I, "Completed")+COUNTIF(I:I, "Excluded")</f>
        <v>1</v>
      </c>
    </row>
    <row r="5" customFormat="false" ht="15" hidden="false" customHeight="false" outlineLevel="0" collapsed="false">
      <c r="A5" s="3" t="s">
        <v>658</v>
      </c>
      <c r="B5" s="0" t="n">
        <f aca="false">COUNTIF(I:I, "Qualified")+COUNTIF(I:I, "Completed")</f>
        <v>0</v>
      </c>
    </row>
    <row r="6" customFormat="false" ht="15" hidden="false" customHeight="false" outlineLevel="0" collapsed="false">
      <c r="A6" s="3" t="s">
        <v>659</v>
      </c>
      <c r="B6" s="0" t="n">
        <f aca="false">COUNTIF(I:I, "Completed")</f>
        <v>0</v>
      </c>
    </row>
    <row r="7" customFormat="false" ht="15" hidden="false" customHeight="false" outlineLevel="0" collapsed="false">
      <c r="A7" s="3" t="s">
        <v>660</v>
      </c>
      <c r="B7" s="0" t="n">
        <f aca="false">COUNTIF(I:I, "Excluded")</f>
        <v>0</v>
      </c>
    </row>
    <row r="8" customFormat="false" ht="15" hidden="false" customHeight="false" outlineLevel="0" collapsed="false">
      <c r="A8" s="3" t="s">
        <v>661</v>
      </c>
      <c r="B8" s="11" t="n">
        <f aca="false">IFERROR(B5/B3, 0)</f>
        <v>0</v>
      </c>
    </row>
    <row r="10" customFormat="false" ht="26.85" hidden="false" customHeight="false" outlineLevel="0" collapsed="false">
      <c r="A10" s="7" t="s">
        <v>662</v>
      </c>
      <c r="B10" s="7" t="s">
        <v>663</v>
      </c>
      <c r="C10" s="7" t="s">
        <v>664</v>
      </c>
      <c r="D10" s="7" t="s">
        <v>665</v>
      </c>
      <c r="E10" s="7" t="s">
        <v>666</v>
      </c>
      <c r="F10" s="7" t="s">
        <v>667</v>
      </c>
      <c r="G10" s="7" t="s">
        <v>668</v>
      </c>
      <c r="H10" s="7" t="s">
        <v>669</v>
      </c>
      <c r="I10" s="7" t="s">
        <v>670</v>
      </c>
      <c r="J10" s="7" t="s">
        <v>671</v>
      </c>
      <c r="K10" s="7" t="s">
        <v>672</v>
      </c>
      <c r="L10" s="7" t="s">
        <v>673</v>
      </c>
      <c r="N10" s="12" t="s">
        <v>674</v>
      </c>
      <c r="O10" s="12" t="s">
        <v>659</v>
      </c>
      <c r="P10" s="12" t="s">
        <v>675</v>
      </c>
      <c r="Q10" s="12" t="s">
        <v>676</v>
      </c>
    </row>
    <row r="11" customFormat="false" ht="15" hidden="false" customHeight="false" outlineLevel="0" collapsed="false">
      <c r="A11" s="8" t="s">
        <v>677</v>
      </c>
      <c r="B11" s="8" t="s">
        <v>678</v>
      </c>
      <c r="C11" s="8" t="s">
        <v>679</v>
      </c>
      <c r="D11" s="8" t="s">
        <v>595</v>
      </c>
      <c r="E11" s="8" t="s">
        <v>680</v>
      </c>
      <c r="F11" s="8" t="s">
        <v>681</v>
      </c>
      <c r="G11" s="8" t="s">
        <v>682</v>
      </c>
      <c r="H11" s="8" t="n">
        <v>0</v>
      </c>
      <c r="I11" s="8" t="s">
        <v>657</v>
      </c>
      <c r="J11" s="8"/>
      <c r="K11" s="8"/>
      <c r="L11" s="8"/>
      <c r="N11" s="13" t="s">
        <v>595</v>
      </c>
      <c r="O11" s="13" t="n">
        <f aca="false">COUNTIFS(D:D,"Retail &amp; Apparel",I:I,"Completed")</f>
        <v>0</v>
      </c>
      <c r="P11" s="13" t="n">
        <v>10</v>
      </c>
      <c r="Q11" s="14" t="n">
        <f aca="false">IFERROR(O11/P11, 0)</f>
        <v>0</v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N12" s="13" t="s">
        <v>598</v>
      </c>
      <c r="O12" s="13" t="n">
        <f aca="false">COUNTIFS(D:D,"Hospitality",I:I,"Completed")</f>
        <v>0</v>
      </c>
      <c r="P12" s="13" t="n">
        <v>10</v>
      </c>
      <c r="Q12" s="14" t="n">
        <f aca="false">IFERROR(O12/P12, 0)</f>
        <v>0</v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N13" s="13" t="s">
        <v>601</v>
      </c>
      <c r="O13" s="13" t="n">
        <f aca="false">COUNTIFS(D:D,"Healthcare",I:I,"Completed")</f>
        <v>0</v>
      </c>
      <c r="P13" s="13" t="n">
        <v>10</v>
      </c>
      <c r="Q13" s="14" t="n">
        <f aca="false">IFERROR(O13/P13, 0)</f>
        <v>0</v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13" t="s">
        <v>604</v>
      </c>
      <c r="O14" s="13" t="n">
        <f aca="false">COUNTIFS(D:D,"Events &amp; Venues",I:I,"Completed")</f>
        <v>0</v>
      </c>
      <c r="P14" s="13" t="n">
        <v>10</v>
      </c>
      <c r="Q14" s="14" t="n">
        <f aca="false">IFERROR(O14/P14, 0)</f>
        <v>0</v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N15" s="13" t="s">
        <v>607</v>
      </c>
      <c r="O15" s="13" t="n">
        <f aca="false">COUNTIFS(D:D,"Logistics",I:I,"Completed")</f>
        <v>0</v>
      </c>
      <c r="P15" s="13" t="n">
        <v>10</v>
      </c>
      <c r="Q15" s="14" t="n">
        <f aca="false">IFERROR(O15/P15, 0)</f>
        <v>0</v>
      </c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N16" s="13" t="s">
        <v>610</v>
      </c>
      <c r="O16" s="13" t="n">
        <f aca="false">COUNTIFS(D:D,"Industrial",I:I,"Completed")</f>
        <v>0</v>
      </c>
      <c r="P16" s="13" t="n">
        <v>10</v>
      </c>
      <c r="Q16" s="14" t="n">
        <f aca="false">IFERROR(O16/P16, 0)</f>
        <v>0</v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N17" s="13" t="s">
        <v>613</v>
      </c>
      <c r="O17" s="13" t="n">
        <f aca="false">COUNTIFS(D:D,"Libraries",I:I,"Completed")</f>
        <v>0</v>
      </c>
      <c r="P17" s="13" t="n">
        <v>10</v>
      </c>
      <c r="Q17" s="14" t="n">
        <f aca="false">IFERROR(O17/P17, 0)</f>
        <v>0</v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N18" s="13" t="s">
        <v>616</v>
      </c>
      <c r="O18" s="13" t="n">
        <f aca="false">COUNTIFS(D:D,"Laundry Services",I:I,"Completed")</f>
        <v>0</v>
      </c>
      <c r="P18" s="13" t="n">
        <v>10</v>
      </c>
      <c r="Q18" s="14" t="n">
        <f aca="false">IFERROR(O18/P18, 0)</f>
        <v>0</v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N19" s="13" t="s">
        <v>619</v>
      </c>
      <c r="O19" s="13" t="n">
        <f aca="false">COUNTIFS(D:D,"Pharmaceutical",I:I,"Completed")</f>
        <v>0</v>
      </c>
      <c r="P19" s="13" t="n">
        <v>10</v>
      </c>
      <c r="Q19" s="14" t="n">
        <f aca="false">IFERROR(O19/P19, 0)</f>
        <v>0</v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N20" s="13" t="s">
        <v>622</v>
      </c>
      <c r="O20" s="13" t="n">
        <f aca="false">COUNTIFS(D:D,"Luxury Brands",I:I,"Completed")</f>
        <v>0</v>
      </c>
      <c r="P20" s="13" t="n">
        <v>10</v>
      </c>
      <c r="Q20" s="14" t="n">
        <f aca="false">IFERROR(O20/P20, 0)</f>
        <v>0</v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N21" s="13" t="s">
        <v>625</v>
      </c>
      <c r="O21" s="13" t="n">
        <f aca="false">COUNTIFS(D:D,"Brand Protection",I:I,"Completed")</f>
        <v>0</v>
      </c>
      <c r="P21" s="13" t="n">
        <v>10</v>
      </c>
      <c r="Q21" s="14" t="n">
        <f aca="false">IFERROR(O21/P21, 0)</f>
        <v>0</v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N22" s="13" t="s">
        <v>628</v>
      </c>
      <c r="O22" s="13" t="n">
        <f aca="false">COUNTIFS(D:D,"Education",I:I,"Completed")</f>
        <v>0</v>
      </c>
      <c r="P22" s="13" t="n">
        <v>10</v>
      </c>
      <c r="Q22" s="14" t="n">
        <f aca="false">IFERROR(O22/P22, 0)</f>
        <v>0</v>
      </c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N23" s="13" t="s">
        <v>631</v>
      </c>
      <c r="O23" s="13" t="n">
        <f aca="false">COUNTIFS(D:D,"Fitness",I:I,"Completed")</f>
        <v>0</v>
      </c>
      <c r="P23" s="13" t="n">
        <v>10</v>
      </c>
      <c r="Q23" s="14" t="n">
        <f aca="false">IFERROR(O23/P23, 0)</f>
        <v>0</v>
      </c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N24" s="13" t="s">
        <v>634</v>
      </c>
      <c r="O24" s="13" t="n">
        <f aca="false">COUNTIFS(D:D,"Agriculture",I:I,"Completed")</f>
        <v>0</v>
      </c>
      <c r="P24" s="13" t="n">
        <v>10</v>
      </c>
      <c r="Q24" s="14" t="n">
        <f aca="false">IFERROR(O24/P24, 0)</f>
        <v>0</v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N25" s="13" t="s">
        <v>637</v>
      </c>
      <c r="O25" s="13" t="n">
        <f aca="false">COUNTIFS(D:D,"EU Compliance",I:I,"Completed")</f>
        <v>0</v>
      </c>
      <c r="P25" s="13" t="n">
        <v>10</v>
      </c>
      <c r="Q25" s="14" t="n">
        <f aca="false">IFERROR(O25/P25, 0)</f>
        <v>0</v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N26" s="13" t="s">
        <v>640</v>
      </c>
      <c r="O26" s="13" t="n">
        <f aca="false">COUNTIFS(D:D,"Automotive &amp; Tire OEM",I:I,"Completed")</f>
        <v>0</v>
      </c>
      <c r="P26" s="13" t="n">
        <v>10</v>
      </c>
      <c r="Q26" s="14" t="n">
        <f aca="false">IFERROR(O26/P26, 0)</f>
        <v>0</v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N27" s="13" t="s">
        <v>643</v>
      </c>
      <c r="O27" s="13" t="n">
        <f aca="false">COUNTIFS(D:D,"Aerospace &amp; Aviation MRO",I:I,"Completed")</f>
        <v>0</v>
      </c>
      <c r="P27" s="13" t="n">
        <v>10</v>
      </c>
      <c r="Q27" s="14" t="n">
        <f aca="false">IFERROR(O27/P27, 0)</f>
        <v>0</v>
      </c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N28" s="13" t="s">
        <v>646</v>
      </c>
      <c r="O28" s="13" t="n">
        <f aca="false">COUNTIFS(D:D,"Data Center &amp; IT Asset Tracking",I:I,"Completed")</f>
        <v>0</v>
      </c>
      <c r="P28" s="13" t="n">
        <v>10</v>
      </c>
      <c r="Q28" s="14" t="n">
        <f aca="false">IFERROR(O28/P28, 0)</f>
        <v>0</v>
      </c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N29" s="13" t="s">
        <v>649</v>
      </c>
      <c r="O29" s="13" t="n">
        <f aca="false">COUNTIFS(D:D,"Government &amp; Defense",I:I,"Completed")</f>
        <v>0</v>
      </c>
      <c r="P29" s="13" t="n">
        <v>10</v>
      </c>
      <c r="Q29" s="14" t="n">
        <f aca="false">IFERROR(O29/P29, 0)</f>
        <v>0</v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N30" s="13" t="s">
        <v>652</v>
      </c>
      <c r="O30" s="13" t="n">
        <f aca="false">COUNTIFS(D:D,"Cold Chain &amp; Food Traceability",I:I,"Completed")</f>
        <v>0</v>
      </c>
      <c r="P30" s="13" t="n">
        <v>10</v>
      </c>
      <c r="Q30" s="14" t="n">
        <f aca="false">IFERROR(O30/P30, 0)</f>
        <v>0</v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Y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9" min="1" style="0" width="14"/>
  </cols>
  <sheetData>
    <row r="1" customFormat="false" ht="15" hidden="false" customHeight="false" outlineLevel="0" collapsed="false">
      <c r="A1" s="15" t="s">
        <v>683</v>
      </c>
      <c r="B1" s="15"/>
      <c r="C1" s="15"/>
      <c r="D1" s="15"/>
      <c r="E1" s="15"/>
      <c r="F1" s="15"/>
      <c r="G1" s="15"/>
      <c r="H1" s="15"/>
    </row>
    <row r="3" customFormat="false" ht="26.85" hidden="false" customHeight="false" outlineLevel="0" collapsed="false">
      <c r="A3" s="7" t="s">
        <v>684</v>
      </c>
      <c r="B3" s="7" t="s">
        <v>685</v>
      </c>
      <c r="C3" s="7" t="s">
        <v>664</v>
      </c>
      <c r="D3" s="7" t="s">
        <v>686</v>
      </c>
      <c r="E3" s="7" t="s">
        <v>42</v>
      </c>
      <c r="F3" s="7" t="s">
        <v>49</v>
      </c>
      <c r="G3" s="7" t="s">
        <v>54</v>
      </c>
      <c r="H3" s="7" t="s">
        <v>59</v>
      </c>
      <c r="I3" s="7" t="s">
        <v>65</v>
      </c>
      <c r="J3" s="7" t="s">
        <v>71</v>
      </c>
      <c r="K3" s="7" t="s">
        <v>77</v>
      </c>
      <c r="L3" s="7" t="s">
        <v>81</v>
      </c>
      <c r="M3" s="7" t="s">
        <v>86</v>
      </c>
      <c r="N3" s="7" t="s">
        <v>91</v>
      </c>
      <c r="O3" s="7" t="s">
        <v>97</v>
      </c>
      <c r="P3" s="7" t="s">
        <v>101</v>
      </c>
      <c r="Q3" s="7" t="s">
        <v>107</v>
      </c>
      <c r="R3" s="7" t="s">
        <v>112</v>
      </c>
      <c r="S3" s="7" t="s">
        <v>119</v>
      </c>
      <c r="T3" s="7" t="s">
        <v>124</v>
      </c>
      <c r="U3" s="7" t="s">
        <v>131</v>
      </c>
      <c r="V3" s="7" t="s">
        <v>136</v>
      </c>
      <c r="W3" s="7" t="s">
        <v>141</v>
      </c>
      <c r="X3" s="7" t="s">
        <v>147</v>
      </c>
      <c r="Y3" s="7" t="s">
        <v>151</v>
      </c>
      <c r="Z3" s="7" t="s">
        <v>155</v>
      </c>
      <c r="AA3" s="7" t="s">
        <v>160</v>
      </c>
      <c r="AB3" s="7" t="s">
        <v>164</v>
      </c>
      <c r="AC3" s="7" t="s">
        <v>168</v>
      </c>
      <c r="AD3" s="7" t="s">
        <v>174</v>
      </c>
      <c r="AE3" s="7" t="s">
        <v>180</v>
      </c>
      <c r="AF3" s="7" t="s">
        <v>184</v>
      </c>
      <c r="AG3" s="7" t="s">
        <v>188</v>
      </c>
      <c r="AH3" s="7" t="s">
        <v>192</v>
      </c>
      <c r="AI3" s="7" t="s">
        <v>198</v>
      </c>
      <c r="AJ3" s="7" t="s">
        <v>203</v>
      </c>
      <c r="AK3" s="7" t="s">
        <v>207</v>
      </c>
      <c r="AL3" s="7" t="s">
        <v>211</v>
      </c>
      <c r="AM3" s="7" t="s">
        <v>214</v>
      </c>
      <c r="AN3" s="7" t="s">
        <v>219</v>
      </c>
      <c r="AO3" s="7" t="s">
        <v>224</v>
      </c>
      <c r="AP3" s="7" t="s">
        <v>228</v>
      </c>
      <c r="AQ3" s="7" t="s">
        <v>233</v>
      </c>
      <c r="AR3" s="7" t="s">
        <v>237</v>
      </c>
      <c r="AS3" s="7" t="s">
        <v>242</v>
      </c>
      <c r="AT3" s="7" t="s">
        <v>247</v>
      </c>
      <c r="AU3" s="7" t="s">
        <v>251</v>
      </c>
      <c r="AV3" s="7" t="s">
        <v>255</v>
      </c>
      <c r="AW3" s="7" t="s">
        <v>259</v>
      </c>
      <c r="AX3" s="7" t="s">
        <v>264</v>
      </c>
      <c r="AY3" s="7" t="s">
        <v>269</v>
      </c>
      <c r="AZ3" s="7" t="s">
        <v>273</v>
      </c>
      <c r="BA3" s="7" t="s">
        <v>277</v>
      </c>
      <c r="BB3" s="7" t="s">
        <v>281</v>
      </c>
      <c r="BC3" s="7" t="s">
        <v>286</v>
      </c>
      <c r="BD3" s="7" t="s">
        <v>290</v>
      </c>
      <c r="BE3" s="7" t="s">
        <v>294</v>
      </c>
      <c r="BF3" s="7" t="s">
        <v>298</v>
      </c>
      <c r="BG3" s="7" t="s">
        <v>301</v>
      </c>
      <c r="BH3" s="7" t="s">
        <v>306</v>
      </c>
      <c r="BI3" s="7" t="s">
        <v>311</v>
      </c>
      <c r="BJ3" s="7" t="s">
        <v>315</v>
      </c>
      <c r="BK3" s="7" t="s">
        <v>319</v>
      </c>
      <c r="BL3" s="7" t="s">
        <v>323</v>
      </c>
      <c r="BM3" s="7" t="s">
        <v>328</v>
      </c>
      <c r="BN3" s="7" t="s">
        <v>333</v>
      </c>
      <c r="BO3" s="7" t="s">
        <v>337</v>
      </c>
      <c r="BP3" s="7" t="s">
        <v>341</v>
      </c>
      <c r="BQ3" s="7" t="s">
        <v>345</v>
      </c>
      <c r="BR3" s="7" t="s">
        <v>350</v>
      </c>
      <c r="BS3" s="7" t="s">
        <v>355</v>
      </c>
      <c r="BT3" s="7" t="s">
        <v>359</v>
      </c>
      <c r="BU3" s="7" t="s">
        <v>363</v>
      </c>
      <c r="BV3" s="7" t="s">
        <v>367</v>
      </c>
      <c r="BW3" s="7" t="s">
        <v>372</v>
      </c>
      <c r="BX3" s="7" t="s">
        <v>377</v>
      </c>
      <c r="BY3" s="7" t="s">
        <v>381</v>
      </c>
      <c r="BZ3" s="7" t="s">
        <v>385</v>
      </c>
      <c r="CA3" s="7" t="s">
        <v>389</v>
      </c>
      <c r="CB3" s="7" t="s">
        <v>393</v>
      </c>
      <c r="CC3" s="7" t="s">
        <v>398</v>
      </c>
      <c r="CD3" s="7" t="s">
        <v>402</v>
      </c>
      <c r="CE3" s="7" t="s">
        <v>406</v>
      </c>
      <c r="CF3" s="7" t="s">
        <v>410</v>
      </c>
      <c r="CG3" s="7" t="s">
        <v>415</v>
      </c>
      <c r="CH3" s="7" t="s">
        <v>420</v>
      </c>
      <c r="CI3" s="7" t="s">
        <v>424</v>
      </c>
      <c r="CJ3" s="7" t="s">
        <v>427</v>
      </c>
      <c r="CK3" s="7" t="s">
        <v>430</v>
      </c>
      <c r="CL3" s="7" t="s">
        <v>434</v>
      </c>
      <c r="CM3" s="7" t="s">
        <v>439</v>
      </c>
      <c r="CN3" s="7" t="s">
        <v>442</v>
      </c>
      <c r="CO3" s="7" t="s">
        <v>445</v>
      </c>
      <c r="CP3" s="7" t="s">
        <v>449</v>
      </c>
      <c r="CQ3" s="7" t="s">
        <v>453</v>
      </c>
      <c r="CR3" s="7" t="s">
        <v>458</v>
      </c>
      <c r="CS3" s="7" t="s">
        <v>462</v>
      </c>
      <c r="CT3" s="7" t="s">
        <v>466</v>
      </c>
      <c r="CU3" s="7" t="s">
        <v>470</v>
      </c>
      <c r="CV3" s="7" t="s">
        <v>475</v>
      </c>
      <c r="CW3" s="7" t="s">
        <v>480</v>
      </c>
      <c r="CX3" s="7" t="s">
        <v>482</v>
      </c>
      <c r="CY3" s="7" t="s">
        <v>486</v>
      </c>
      <c r="CZ3" s="7" t="s">
        <v>490</v>
      </c>
      <c r="DA3" s="7" t="s">
        <v>494</v>
      </c>
      <c r="DB3" s="7" t="s">
        <v>499</v>
      </c>
      <c r="DC3" s="7" t="s">
        <v>503</v>
      </c>
      <c r="DD3" s="7" t="s">
        <v>507</v>
      </c>
      <c r="DE3" s="7" t="s">
        <v>510</v>
      </c>
      <c r="DF3" s="7" t="s">
        <v>514</v>
      </c>
      <c r="DG3" s="7" t="s">
        <v>518</v>
      </c>
      <c r="DH3" s="7" t="s">
        <v>522</v>
      </c>
      <c r="DI3" s="7" t="s">
        <v>526</v>
      </c>
      <c r="DJ3" s="7" t="s">
        <v>530</v>
      </c>
      <c r="DK3" s="7" t="s">
        <v>534</v>
      </c>
      <c r="DL3" s="7" t="s">
        <v>538</v>
      </c>
      <c r="DM3" s="7" t="s">
        <v>542</v>
      </c>
      <c r="DN3" s="7" t="s">
        <v>546</v>
      </c>
      <c r="DO3" s="7" t="s">
        <v>550</v>
      </c>
      <c r="DP3" s="7" t="s">
        <v>555</v>
      </c>
      <c r="DQ3" s="7" t="s">
        <v>560</v>
      </c>
      <c r="DR3" s="7" t="s">
        <v>563</v>
      </c>
      <c r="DS3" s="7" t="s">
        <v>566</v>
      </c>
      <c r="DT3" s="7" t="s">
        <v>570</v>
      </c>
      <c r="DU3" s="7" t="s">
        <v>575</v>
      </c>
      <c r="DV3" s="7" t="s">
        <v>578</v>
      </c>
      <c r="DW3" s="7" t="s">
        <v>582</v>
      </c>
      <c r="DX3" s="7" t="s">
        <v>584</v>
      </c>
      <c r="DY3" s="7" t="s">
        <v>588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6" t="s">
        <v>687</v>
      </c>
    </row>
    <row r="2" customFormat="false" ht="15" hidden="false" customHeight="false" outlineLevel="0" collapsed="false">
      <c r="A2" s="17" t="s">
        <v>688</v>
      </c>
    </row>
    <row r="4" customFormat="false" ht="15" hidden="false" customHeight="false" outlineLevel="0" collapsed="false">
      <c r="A4" s="4" t="s">
        <v>689</v>
      </c>
    </row>
    <row r="5" customFormat="false" ht="15" hidden="false" customHeight="false" outlineLevel="0" collapsed="false">
      <c r="A5" s="4" t="s">
        <v>690</v>
      </c>
      <c r="B5" s="4" t="s">
        <v>691</v>
      </c>
      <c r="C5" s="4" t="s">
        <v>692</v>
      </c>
      <c r="D5" s="4" t="s">
        <v>693</v>
      </c>
      <c r="E5" s="4" t="s">
        <v>694</v>
      </c>
      <c r="F5" s="4" t="s">
        <v>695</v>
      </c>
    </row>
    <row r="6" customFormat="false" ht="15" hidden="false" customHeight="false" outlineLevel="0" collapsed="false">
      <c r="A6" s="18" t="s">
        <v>595</v>
      </c>
      <c r="B6" s="18" t="n">
        <f aca="false">COUNTIFS('Raw Data'!E:E,"Retail &amp; Apparel",'Raw Data'!H:H,"No RFID")</f>
        <v>0</v>
      </c>
      <c r="C6" s="18" t="n">
        <f aca="false">COUNTIFS('Raw Data'!E:E,"Retail &amp; Apparel",'Raw Data'!H:H,"Piloting")</f>
        <v>0</v>
      </c>
      <c r="D6" s="18" t="n">
        <f aca="false">COUNTIFS('Raw Data'!E:E,"Retail &amp; Apparel",'Raw Data'!H:H,"Partial production")</f>
        <v>0</v>
      </c>
      <c r="E6" s="18" t="n">
        <f aca="false">COUNTIFS('Raw Data'!E:E,"Retail &amp; Apparel",'Raw Data'!H:H,"Full production")</f>
        <v>0</v>
      </c>
      <c r="F6" s="18" t="n">
        <f aca="false">SUM(B6:E6)</f>
        <v>0</v>
      </c>
    </row>
    <row r="7" customFormat="false" ht="15" hidden="false" customHeight="false" outlineLevel="0" collapsed="false">
      <c r="A7" s="18" t="s">
        <v>598</v>
      </c>
      <c r="B7" s="18" t="n">
        <f aca="false">COUNTIFS('Raw Data'!E:E,"Hospitality",'Raw Data'!H:H,"No RFID")</f>
        <v>0</v>
      </c>
      <c r="C7" s="18" t="n">
        <f aca="false">COUNTIFS('Raw Data'!E:E,"Hospitality",'Raw Data'!H:H,"Piloting")</f>
        <v>0</v>
      </c>
      <c r="D7" s="18" t="n">
        <f aca="false">COUNTIFS('Raw Data'!E:E,"Hospitality",'Raw Data'!H:H,"Partial production")</f>
        <v>0</v>
      </c>
      <c r="E7" s="18" t="n">
        <f aca="false">COUNTIFS('Raw Data'!E:E,"Hospitality",'Raw Data'!H:H,"Full production")</f>
        <v>0</v>
      </c>
      <c r="F7" s="18" t="n">
        <f aca="false">SUM(B7:E7)</f>
        <v>0</v>
      </c>
    </row>
    <row r="8" customFormat="false" ht="15" hidden="false" customHeight="false" outlineLevel="0" collapsed="false">
      <c r="A8" s="18" t="s">
        <v>601</v>
      </c>
      <c r="B8" s="18" t="n">
        <f aca="false">COUNTIFS('Raw Data'!E:E,"Healthcare",'Raw Data'!H:H,"No RFID")</f>
        <v>0</v>
      </c>
      <c r="C8" s="18" t="n">
        <f aca="false">COUNTIFS('Raw Data'!E:E,"Healthcare",'Raw Data'!H:H,"Piloting")</f>
        <v>0</v>
      </c>
      <c r="D8" s="18" t="n">
        <f aca="false">COUNTIFS('Raw Data'!E:E,"Healthcare",'Raw Data'!H:H,"Partial production")</f>
        <v>0</v>
      </c>
      <c r="E8" s="18" t="n">
        <f aca="false">COUNTIFS('Raw Data'!E:E,"Healthcare",'Raw Data'!H:H,"Full production")</f>
        <v>0</v>
      </c>
      <c r="F8" s="18" t="n">
        <f aca="false">SUM(B8:E8)</f>
        <v>0</v>
      </c>
    </row>
    <row r="9" customFormat="false" ht="15" hidden="false" customHeight="false" outlineLevel="0" collapsed="false">
      <c r="A9" s="18" t="s">
        <v>604</v>
      </c>
      <c r="B9" s="18" t="n">
        <f aca="false">COUNTIFS('Raw Data'!E:E,"Events &amp; Venues",'Raw Data'!H:H,"No RFID")</f>
        <v>0</v>
      </c>
      <c r="C9" s="18" t="n">
        <f aca="false">COUNTIFS('Raw Data'!E:E,"Events &amp; Venues",'Raw Data'!H:H,"Piloting")</f>
        <v>0</v>
      </c>
      <c r="D9" s="18" t="n">
        <f aca="false">COUNTIFS('Raw Data'!E:E,"Events &amp; Venues",'Raw Data'!H:H,"Partial production")</f>
        <v>0</v>
      </c>
      <c r="E9" s="18" t="n">
        <f aca="false">COUNTIFS('Raw Data'!E:E,"Events &amp; Venues",'Raw Data'!H:H,"Full production")</f>
        <v>0</v>
      </c>
      <c r="F9" s="18" t="n">
        <f aca="false">SUM(B9:E9)</f>
        <v>0</v>
      </c>
    </row>
    <row r="10" customFormat="false" ht="15" hidden="false" customHeight="false" outlineLevel="0" collapsed="false">
      <c r="A10" s="18" t="s">
        <v>607</v>
      </c>
      <c r="B10" s="18" t="n">
        <f aca="false">COUNTIFS('Raw Data'!E:E,"Logistics",'Raw Data'!H:H,"No RFID")</f>
        <v>0</v>
      </c>
      <c r="C10" s="18" t="n">
        <f aca="false">COUNTIFS('Raw Data'!E:E,"Logistics",'Raw Data'!H:H,"Piloting")</f>
        <v>0</v>
      </c>
      <c r="D10" s="18" t="n">
        <f aca="false">COUNTIFS('Raw Data'!E:E,"Logistics",'Raw Data'!H:H,"Partial production")</f>
        <v>0</v>
      </c>
      <c r="E10" s="18" t="n">
        <f aca="false">COUNTIFS('Raw Data'!E:E,"Logistics",'Raw Data'!H:H,"Full production")</f>
        <v>0</v>
      </c>
      <c r="F10" s="18" t="n">
        <f aca="false">SUM(B10:E10)</f>
        <v>0</v>
      </c>
    </row>
    <row r="11" customFormat="false" ht="15" hidden="false" customHeight="false" outlineLevel="0" collapsed="false">
      <c r="A11" s="18" t="s">
        <v>610</v>
      </c>
      <c r="B11" s="18" t="n">
        <f aca="false">COUNTIFS('Raw Data'!E:E,"Industrial",'Raw Data'!H:H,"No RFID")</f>
        <v>0</v>
      </c>
      <c r="C11" s="18" t="n">
        <f aca="false">COUNTIFS('Raw Data'!E:E,"Industrial",'Raw Data'!H:H,"Piloting")</f>
        <v>0</v>
      </c>
      <c r="D11" s="18" t="n">
        <f aca="false">COUNTIFS('Raw Data'!E:E,"Industrial",'Raw Data'!H:H,"Partial production")</f>
        <v>0</v>
      </c>
      <c r="E11" s="18" t="n">
        <f aca="false">COUNTIFS('Raw Data'!E:E,"Industrial",'Raw Data'!H:H,"Full production")</f>
        <v>0</v>
      </c>
      <c r="F11" s="18" t="n">
        <f aca="false">SUM(B11:E11)</f>
        <v>0</v>
      </c>
    </row>
    <row r="12" customFormat="false" ht="15" hidden="false" customHeight="false" outlineLevel="0" collapsed="false">
      <c r="A12" s="18" t="s">
        <v>613</v>
      </c>
      <c r="B12" s="18" t="n">
        <f aca="false">COUNTIFS('Raw Data'!E:E,"Libraries",'Raw Data'!H:H,"No RFID")</f>
        <v>0</v>
      </c>
      <c r="C12" s="18" t="n">
        <f aca="false">COUNTIFS('Raw Data'!E:E,"Libraries",'Raw Data'!H:H,"Piloting")</f>
        <v>0</v>
      </c>
      <c r="D12" s="18" t="n">
        <f aca="false">COUNTIFS('Raw Data'!E:E,"Libraries",'Raw Data'!H:H,"Partial production")</f>
        <v>0</v>
      </c>
      <c r="E12" s="18" t="n">
        <f aca="false">COUNTIFS('Raw Data'!E:E,"Libraries",'Raw Data'!H:H,"Full production")</f>
        <v>0</v>
      </c>
      <c r="F12" s="18" t="n">
        <f aca="false">SUM(B12:E12)</f>
        <v>0</v>
      </c>
    </row>
    <row r="13" customFormat="false" ht="15" hidden="false" customHeight="false" outlineLevel="0" collapsed="false">
      <c r="A13" s="18" t="s">
        <v>616</v>
      </c>
      <c r="B13" s="18" t="n">
        <f aca="false">COUNTIFS('Raw Data'!E:E,"Laundry Services",'Raw Data'!H:H,"No RFID")</f>
        <v>0</v>
      </c>
      <c r="C13" s="18" t="n">
        <f aca="false">COUNTIFS('Raw Data'!E:E,"Laundry Services",'Raw Data'!H:H,"Piloting")</f>
        <v>0</v>
      </c>
      <c r="D13" s="18" t="n">
        <f aca="false">COUNTIFS('Raw Data'!E:E,"Laundry Services",'Raw Data'!H:H,"Partial production")</f>
        <v>0</v>
      </c>
      <c r="E13" s="18" t="n">
        <f aca="false">COUNTIFS('Raw Data'!E:E,"Laundry Services",'Raw Data'!H:H,"Full production")</f>
        <v>0</v>
      </c>
      <c r="F13" s="18" t="n">
        <f aca="false">SUM(B13:E13)</f>
        <v>0</v>
      </c>
    </row>
    <row r="14" customFormat="false" ht="15" hidden="false" customHeight="false" outlineLevel="0" collapsed="false">
      <c r="A14" s="18" t="s">
        <v>619</v>
      </c>
      <c r="B14" s="18" t="n">
        <f aca="false">COUNTIFS('Raw Data'!E:E,"Pharmaceutical",'Raw Data'!H:H,"No RFID")</f>
        <v>0</v>
      </c>
      <c r="C14" s="18" t="n">
        <f aca="false">COUNTIFS('Raw Data'!E:E,"Pharmaceutical",'Raw Data'!H:H,"Piloting")</f>
        <v>0</v>
      </c>
      <c r="D14" s="18" t="n">
        <f aca="false">COUNTIFS('Raw Data'!E:E,"Pharmaceutical",'Raw Data'!H:H,"Partial production")</f>
        <v>0</v>
      </c>
      <c r="E14" s="18" t="n">
        <f aca="false">COUNTIFS('Raw Data'!E:E,"Pharmaceutical",'Raw Data'!H:H,"Full production")</f>
        <v>0</v>
      </c>
      <c r="F14" s="18" t="n">
        <f aca="false">SUM(B14:E14)</f>
        <v>0</v>
      </c>
    </row>
    <row r="15" customFormat="false" ht="15" hidden="false" customHeight="false" outlineLevel="0" collapsed="false">
      <c r="A15" s="18" t="s">
        <v>622</v>
      </c>
      <c r="B15" s="18" t="n">
        <f aca="false">COUNTIFS('Raw Data'!E:E,"Luxury Brands",'Raw Data'!H:H,"No RFID")</f>
        <v>0</v>
      </c>
      <c r="C15" s="18" t="n">
        <f aca="false">COUNTIFS('Raw Data'!E:E,"Luxury Brands",'Raw Data'!H:H,"Piloting")</f>
        <v>0</v>
      </c>
      <c r="D15" s="18" t="n">
        <f aca="false">COUNTIFS('Raw Data'!E:E,"Luxury Brands",'Raw Data'!H:H,"Partial production")</f>
        <v>0</v>
      </c>
      <c r="E15" s="18" t="n">
        <f aca="false">COUNTIFS('Raw Data'!E:E,"Luxury Brands",'Raw Data'!H:H,"Full production")</f>
        <v>0</v>
      </c>
      <c r="F15" s="18" t="n">
        <f aca="false">SUM(B15:E15)</f>
        <v>0</v>
      </c>
    </row>
    <row r="16" customFormat="false" ht="15" hidden="false" customHeight="false" outlineLevel="0" collapsed="false">
      <c r="A16" s="18" t="s">
        <v>625</v>
      </c>
      <c r="B16" s="18" t="n">
        <f aca="false">COUNTIFS('Raw Data'!E:E,"Brand Protection",'Raw Data'!H:H,"No RFID")</f>
        <v>0</v>
      </c>
      <c r="C16" s="18" t="n">
        <f aca="false">COUNTIFS('Raw Data'!E:E,"Brand Protection",'Raw Data'!H:H,"Piloting")</f>
        <v>0</v>
      </c>
      <c r="D16" s="18" t="n">
        <f aca="false">COUNTIFS('Raw Data'!E:E,"Brand Protection",'Raw Data'!H:H,"Partial production")</f>
        <v>0</v>
      </c>
      <c r="E16" s="18" t="n">
        <f aca="false">COUNTIFS('Raw Data'!E:E,"Brand Protection",'Raw Data'!H:H,"Full production")</f>
        <v>0</v>
      </c>
      <c r="F16" s="18" t="n">
        <f aca="false">SUM(B16:E16)</f>
        <v>0</v>
      </c>
    </row>
    <row r="17" customFormat="false" ht="15" hidden="false" customHeight="false" outlineLevel="0" collapsed="false">
      <c r="A17" s="18" t="s">
        <v>628</v>
      </c>
      <c r="B17" s="18" t="n">
        <f aca="false">COUNTIFS('Raw Data'!E:E,"Education",'Raw Data'!H:H,"No RFID")</f>
        <v>0</v>
      </c>
      <c r="C17" s="18" t="n">
        <f aca="false">COUNTIFS('Raw Data'!E:E,"Education",'Raw Data'!H:H,"Piloting")</f>
        <v>0</v>
      </c>
      <c r="D17" s="18" t="n">
        <f aca="false">COUNTIFS('Raw Data'!E:E,"Education",'Raw Data'!H:H,"Partial production")</f>
        <v>0</v>
      </c>
      <c r="E17" s="18" t="n">
        <f aca="false">COUNTIFS('Raw Data'!E:E,"Education",'Raw Data'!H:H,"Full production")</f>
        <v>0</v>
      </c>
      <c r="F17" s="18" t="n">
        <f aca="false">SUM(B17:E17)</f>
        <v>0</v>
      </c>
    </row>
    <row r="18" customFormat="false" ht="15" hidden="false" customHeight="false" outlineLevel="0" collapsed="false">
      <c r="A18" s="18" t="s">
        <v>631</v>
      </c>
      <c r="B18" s="18" t="n">
        <f aca="false">COUNTIFS('Raw Data'!E:E,"Fitness",'Raw Data'!H:H,"No RFID")</f>
        <v>0</v>
      </c>
      <c r="C18" s="18" t="n">
        <f aca="false">COUNTIFS('Raw Data'!E:E,"Fitness",'Raw Data'!H:H,"Piloting")</f>
        <v>0</v>
      </c>
      <c r="D18" s="18" t="n">
        <f aca="false">COUNTIFS('Raw Data'!E:E,"Fitness",'Raw Data'!H:H,"Partial production")</f>
        <v>0</v>
      </c>
      <c r="E18" s="18" t="n">
        <f aca="false">COUNTIFS('Raw Data'!E:E,"Fitness",'Raw Data'!H:H,"Full production")</f>
        <v>0</v>
      </c>
      <c r="F18" s="18" t="n">
        <f aca="false">SUM(B18:E18)</f>
        <v>0</v>
      </c>
    </row>
    <row r="19" customFormat="false" ht="15" hidden="false" customHeight="false" outlineLevel="0" collapsed="false">
      <c r="A19" s="18" t="s">
        <v>634</v>
      </c>
      <c r="B19" s="18" t="n">
        <f aca="false">COUNTIFS('Raw Data'!E:E,"Agriculture",'Raw Data'!H:H,"No RFID")</f>
        <v>0</v>
      </c>
      <c r="C19" s="18" t="n">
        <f aca="false">COUNTIFS('Raw Data'!E:E,"Agriculture",'Raw Data'!H:H,"Piloting")</f>
        <v>0</v>
      </c>
      <c r="D19" s="18" t="n">
        <f aca="false">COUNTIFS('Raw Data'!E:E,"Agriculture",'Raw Data'!H:H,"Partial production")</f>
        <v>0</v>
      </c>
      <c r="E19" s="18" t="n">
        <f aca="false">COUNTIFS('Raw Data'!E:E,"Agriculture",'Raw Data'!H:H,"Full production")</f>
        <v>0</v>
      </c>
      <c r="F19" s="18" t="n">
        <f aca="false">SUM(B19:E19)</f>
        <v>0</v>
      </c>
    </row>
    <row r="20" customFormat="false" ht="15" hidden="false" customHeight="false" outlineLevel="0" collapsed="false">
      <c r="A20" s="18" t="s">
        <v>637</v>
      </c>
      <c r="B20" s="18" t="n">
        <f aca="false">COUNTIFS('Raw Data'!E:E,"EU Compliance",'Raw Data'!H:H,"No RFID")</f>
        <v>0</v>
      </c>
      <c r="C20" s="18" t="n">
        <f aca="false">COUNTIFS('Raw Data'!E:E,"EU Compliance",'Raw Data'!H:H,"Piloting")</f>
        <v>0</v>
      </c>
      <c r="D20" s="18" t="n">
        <f aca="false">COUNTIFS('Raw Data'!E:E,"EU Compliance",'Raw Data'!H:H,"Partial production")</f>
        <v>0</v>
      </c>
      <c r="E20" s="18" t="n">
        <f aca="false">COUNTIFS('Raw Data'!E:E,"EU Compliance",'Raw Data'!H:H,"Full production")</f>
        <v>0</v>
      </c>
      <c r="F20" s="18" t="n">
        <f aca="false">SUM(B20:E20)</f>
        <v>0</v>
      </c>
    </row>
    <row r="21" customFormat="false" ht="15" hidden="false" customHeight="false" outlineLevel="0" collapsed="false">
      <c r="A21" s="18" t="s">
        <v>640</v>
      </c>
      <c r="B21" s="18" t="n">
        <f aca="false">COUNTIFS('Raw Data'!E:E,"Automotive &amp; Tire OEM",'Raw Data'!H:H,"No RFID")</f>
        <v>0</v>
      </c>
      <c r="C21" s="18" t="n">
        <f aca="false">COUNTIFS('Raw Data'!E:E,"Automotive &amp; Tire OEM",'Raw Data'!H:H,"Piloting")</f>
        <v>0</v>
      </c>
      <c r="D21" s="18" t="n">
        <f aca="false">COUNTIFS('Raw Data'!E:E,"Automotive &amp; Tire OEM",'Raw Data'!H:H,"Partial production")</f>
        <v>0</v>
      </c>
      <c r="E21" s="18" t="n">
        <f aca="false">COUNTIFS('Raw Data'!E:E,"Automotive &amp; Tire OEM",'Raw Data'!H:H,"Full production")</f>
        <v>0</v>
      </c>
      <c r="F21" s="18" t="n">
        <f aca="false">SUM(B21:E21)</f>
        <v>0</v>
      </c>
    </row>
    <row r="22" customFormat="false" ht="15" hidden="false" customHeight="false" outlineLevel="0" collapsed="false">
      <c r="A22" s="18" t="s">
        <v>643</v>
      </c>
      <c r="B22" s="18" t="n">
        <f aca="false">COUNTIFS('Raw Data'!E:E,"Aerospace &amp; Aviation MRO",'Raw Data'!H:H,"No RFID")</f>
        <v>0</v>
      </c>
      <c r="C22" s="18" t="n">
        <f aca="false">COUNTIFS('Raw Data'!E:E,"Aerospace &amp; Aviation MRO",'Raw Data'!H:H,"Piloting")</f>
        <v>0</v>
      </c>
      <c r="D22" s="18" t="n">
        <f aca="false">COUNTIFS('Raw Data'!E:E,"Aerospace &amp; Aviation MRO",'Raw Data'!H:H,"Partial production")</f>
        <v>0</v>
      </c>
      <c r="E22" s="18" t="n">
        <f aca="false">COUNTIFS('Raw Data'!E:E,"Aerospace &amp; Aviation MRO",'Raw Data'!H:H,"Full production")</f>
        <v>0</v>
      </c>
      <c r="F22" s="18" t="n">
        <f aca="false">SUM(B22:E22)</f>
        <v>0</v>
      </c>
    </row>
    <row r="23" customFormat="false" ht="15" hidden="false" customHeight="false" outlineLevel="0" collapsed="false">
      <c r="A23" s="18" t="s">
        <v>646</v>
      </c>
      <c r="B23" s="18" t="n">
        <f aca="false">COUNTIFS('Raw Data'!E:E,"Data Center &amp; IT Asset Tracking",'Raw Data'!H:H,"No RFID")</f>
        <v>0</v>
      </c>
      <c r="C23" s="18" t="n">
        <f aca="false">COUNTIFS('Raw Data'!E:E,"Data Center &amp; IT Asset Tracking",'Raw Data'!H:H,"Piloting")</f>
        <v>0</v>
      </c>
      <c r="D23" s="18" t="n">
        <f aca="false">COUNTIFS('Raw Data'!E:E,"Data Center &amp; IT Asset Tracking",'Raw Data'!H:H,"Partial production")</f>
        <v>0</v>
      </c>
      <c r="E23" s="18" t="n">
        <f aca="false">COUNTIFS('Raw Data'!E:E,"Data Center &amp; IT Asset Tracking",'Raw Data'!H:H,"Full production")</f>
        <v>0</v>
      </c>
      <c r="F23" s="18" t="n">
        <f aca="false">SUM(B23:E23)</f>
        <v>0</v>
      </c>
    </row>
    <row r="24" customFormat="false" ht="15" hidden="false" customHeight="false" outlineLevel="0" collapsed="false">
      <c r="A24" s="18" t="s">
        <v>649</v>
      </c>
      <c r="B24" s="18" t="n">
        <f aca="false">COUNTIFS('Raw Data'!E:E,"Government &amp; Defense",'Raw Data'!H:H,"No RFID")</f>
        <v>0</v>
      </c>
      <c r="C24" s="18" t="n">
        <f aca="false">COUNTIFS('Raw Data'!E:E,"Government &amp; Defense",'Raw Data'!H:H,"Piloting")</f>
        <v>0</v>
      </c>
      <c r="D24" s="18" t="n">
        <f aca="false">COUNTIFS('Raw Data'!E:E,"Government &amp; Defense",'Raw Data'!H:H,"Partial production")</f>
        <v>0</v>
      </c>
      <c r="E24" s="18" t="n">
        <f aca="false">COUNTIFS('Raw Data'!E:E,"Government &amp; Defense",'Raw Data'!H:H,"Full production")</f>
        <v>0</v>
      </c>
      <c r="F24" s="18" t="n">
        <f aca="false">SUM(B24:E24)</f>
        <v>0</v>
      </c>
    </row>
    <row r="25" customFormat="false" ht="15" hidden="false" customHeight="false" outlineLevel="0" collapsed="false">
      <c r="A25" s="18" t="s">
        <v>652</v>
      </c>
      <c r="B25" s="18" t="n">
        <f aca="false">COUNTIFS('Raw Data'!E:E,"Cold Chain &amp; Food Traceability",'Raw Data'!H:H,"No RFID")</f>
        <v>0</v>
      </c>
      <c r="C25" s="18" t="n">
        <f aca="false">COUNTIFS('Raw Data'!E:E,"Cold Chain &amp; Food Traceability",'Raw Data'!H:H,"Piloting")</f>
        <v>0</v>
      </c>
      <c r="D25" s="18" t="n">
        <f aca="false">COUNTIFS('Raw Data'!E:E,"Cold Chain &amp; Food Traceability",'Raw Data'!H:H,"Partial production")</f>
        <v>0</v>
      </c>
      <c r="E25" s="18" t="n">
        <f aca="false">COUNTIFS('Raw Data'!E:E,"Cold Chain &amp; Food Traceability",'Raw Data'!H:H,"Full production")</f>
        <v>0</v>
      </c>
      <c r="F25" s="18" t="n">
        <f aca="false">SUM(B25:E25)</f>
        <v>0</v>
      </c>
    </row>
    <row r="28" customFormat="false" ht="15" hidden="false" customHeight="false" outlineLevel="0" collapsed="false">
      <c r="A28" s="4" t="s">
        <v>696</v>
      </c>
    </row>
    <row r="29" customFormat="false" ht="15" hidden="false" customHeight="false" outlineLevel="0" collapsed="false">
      <c r="A29" s="4" t="s">
        <v>697</v>
      </c>
      <c r="B29" s="4" t="s">
        <v>698</v>
      </c>
      <c r="C29" s="4" t="s">
        <v>699</v>
      </c>
      <c r="D29" s="4" t="s">
        <v>700</v>
      </c>
      <c r="E29" s="4" t="s">
        <v>701</v>
      </c>
    </row>
    <row r="30" customFormat="false" ht="15" hidden="false" customHeight="false" outlineLevel="0" collapsed="false">
      <c r="A30" s="19" t="s">
        <v>702</v>
      </c>
      <c r="B30" s="20" t="str">
        <f aca="false">IFERROR(MEDIAN('raw data'!index('Raw Data'!4:1000,0,MATCH("Q14_inv_acc",'Raw Data'!3:3,0))),"[map column]")</f>
        <v>[map column]</v>
      </c>
      <c r="C30" s="21" t="s">
        <v>703</v>
      </c>
      <c r="D30" s="19" t="str">
        <f aca="false">IFERROR(C30-B30,"")</f>
        <v/>
      </c>
      <c r="E30" s="22" t="s">
        <v>704</v>
      </c>
    </row>
    <row r="31" customFormat="false" ht="15" hidden="false" customHeight="false" outlineLevel="0" collapsed="false">
      <c r="A31" s="19" t="s">
        <v>705</v>
      </c>
      <c r="B31" s="20" t="str">
        <f aca="false">IFERROR(MEDIAN('raw data'!index('Raw Data'!4:1000,0,MATCH("Q14_bopis",'Raw Data'!3:3,0))),"[map column]")</f>
        <v>[map column]</v>
      </c>
      <c r="C31" s="21" t="s">
        <v>703</v>
      </c>
      <c r="D31" s="19" t="str">
        <f aca="false">IFERROR(C31-B31,"")</f>
        <v/>
      </c>
      <c r="E31" s="22" t="s">
        <v>706</v>
      </c>
    </row>
    <row r="32" customFormat="false" ht="15" hidden="false" customHeight="false" outlineLevel="0" collapsed="false">
      <c r="A32" s="19" t="s">
        <v>707</v>
      </c>
      <c r="B32" s="20" t="str">
        <f aca="false">IFERROR(MEDIAN('raw data'!index('Raw Data'!4:1000,0,MATCH("Q14_shrink",'Raw Data'!3:3,0))),"[map column]")</f>
        <v>[map column]</v>
      </c>
      <c r="C32" s="21" t="s">
        <v>703</v>
      </c>
      <c r="D32" s="19" t="str">
        <f aca="false">IFERROR(C32-B32,"")</f>
        <v/>
      </c>
      <c r="E32" s="22" t="s">
        <v>708</v>
      </c>
    </row>
    <row r="33" customFormat="false" ht="15" hidden="false" customHeight="false" outlineLevel="0" collapsed="false">
      <c r="A33" s="19" t="s">
        <v>709</v>
      </c>
      <c r="B33" s="20" t="str">
        <f aca="false">IFERROR(MEDIAN('raw data'!index('Raw Data'!4:1000,0,MATCH("Q14_labor",'Raw Data'!3:3,0))),"[map column]")</f>
        <v>[map column]</v>
      </c>
      <c r="C33" s="21" t="s">
        <v>703</v>
      </c>
      <c r="D33" s="19" t="str">
        <f aca="false">IFERROR(C33-B33,"")</f>
        <v/>
      </c>
      <c r="E33" s="22" t="s">
        <v>710</v>
      </c>
    </row>
    <row r="34" customFormat="false" ht="15" hidden="false" customHeight="false" outlineLevel="0" collapsed="false">
      <c r="A34" s="19" t="s">
        <v>711</v>
      </c>
      <c r="B34" s="20" t="str">
        <f aca="false">IFERROR(MEDIAN('raw data'!index('Raw Data'!4:1000,0,MATCH("Q14_fines",'Raw Data'!3:3,0))),"[map column]")</f>
        <v>[map column]</v>
      </c>
      <c r="C34" s="21" t="s">
        <v>703</v>
      </c>
      <c r="D34" s="19" t="str">
        <f aca="false">IFERROR(C34-B34,"")</f>
        <v/>
      </c>
      <c r="E34" s="22" t="s">
        <v>712</v>
      </c>
    </row>
    <row r="35" customFormat="false" ht="15" hidden="false" customHeight="false" outlineLevel="0" collapsed="false">
      <c r="A35" s="19" t="s">
        <v>713</v>
      </c>
      <c r="B35" s="20" t="str">
        <f aca="false">IFERROR(MEDIAN('raw data'!index('Raw Data'!4:1000,0,MATCH("Q14_csat",'Raw Data'!3:3,0))),"[map column]")</f>
        <v>[map column]</v>
      </c>
      <c r="C35" s="21" t="s">
        <v>703</v>
      </c>
      <c r="D35" s="19" t="str">
        <f aca="false">IFERROR(C35-B35,"")</f>
        <v/>
      </c>
      <c r="E35" s="22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6" t="s">
        <v>715</v>
      </c>
    </row>
    <row r="2" customFormat="false" ht="15" hidden="false" customHeight="false" outlineLevel="0" collapsed="false">
      <c r="A2" s="17" t="s">
        <v>716</v>
      </c>
    </row>
    <row r="3" customFormat="false" ht="15" hidden="false" customHeight="false" outlineLevel="0" collapsed="false">
      <c r="A3" s="23" t="s">
        <v>717</v>
      </c>
      <c r="B3" s="23" t="s">
        <v>675</v>
      </c>
      <c r="C3" s="23" t="s">
        <v>676</v>
      </c>
      <c r="D3" s="23" t="s">
        <v>718</v>
      </c>
    </row>
    <row r="4" customFormat="false" ht="17.35" hidden="false" customHeight="false" outlineLevel="0" collapsed="false">
      <c r="A4" s="24" t="n">
        <f aca="false">'Respondent DB'!B6</f>
        <v>0</v>
      </c>
      <c r="B4" s="24" t="n">
        <f aca="false">200</f>
        <v>200</v>
      </c>
      <c r="C4" s="25" t="n">
        <f aca="false">IFERROR(B4/C4, 0)</f>
        <v>0</v>
      </c>
      <c r="D4" s="24" t="n">
        <f aca="false">COUNTIF('Respondent DB'!N11:N30, "&gt;=10")</f>
        <v>0</v>
      </c>
    </row>
    <row r="7" customFormat="false" ht="17.35" hidden="false" customHeight="false" outlineLevel="0" collapsed="false">
      <c r="A7" s="6" t="s">
        <v>719</v>
      </c>
    </row>
    <row r="8" customFormat="false" ht="15" hidden="false" customHeight="false" outlineLevel="0" collapsed="false">
      <c r="A8" s="4" t="s">
        <v>690</v>
      </c>
      <c r="B8" s="4" t="s">
        <v>691</v>
      </c>
      <c r="C8" s="4" t="s">
        <v>692</v>
      </c>
      <c r="D8" s="4" t="s">
        <v>693</v>
      </c>
      <c r="E8" s="4" t="s">
        <v>694</v>
      </c>
    </row>
    <row r="9" customFormat="false" ht="15" hidden="false" customHeight="false" outlineLevel="0" collapsed="false">
      <c r="A9" s="18" t="s">
        <v>595</v>
      </c>
      <c r="B9" s="26" t="n">
        <f aca="false">IFERROR('Analysis Cross-tabs'!B6/'Analysis Cross-tabs'!F6,0)</f>
        <v>0</v>
      </c>
      <c r="C9" s="26" t="n">
        <f aca="false">IFERROR('Analysis Cross-tabs'!C6/'Analysis Cross-tabs'!F6,0)</f>
        <v>0</v>
      </c>
      <c r="D9" s="26" t="n">
        <f aca="false">IFERROR('Analysis Cross-tabs'!D6/'Analysis Cross-tabs'!F6,0)</f>
        <v>0</v>
      </c>
      <c r="E9" s="26" t="n">
        <f aca="false">IFERROR('Analysis Cross-tabs'!E6/'Analysis Cross-tabs'!F6,0)</f>
        <v>0</v>
      </c>
    </row>
    <row r="10" customFormat="false" ht="15" hidden="false" customHeight="false" outlineLevel="0" collapsed="false">
      <c r="A10" s="18" t="s">
        <v>598</v>
      </c>
      <c r="B10" s="26" t="n">
        <f aca="false">IFERROR('Analysis Cross-tabs'!B7/'Analysis Cross-tabs'!F7,0)</f>
        <v>0</v>
      </c>
      <c r="C10" s="26" t="n">
        <f aca="false">IFERROR('Analysis Cross-tabs'!C7/'Analysis Cross-tabs'!F7,0)</f>
        <v>0</v>
      </c>
      <c r="D10" s="26" t="n">
        <f aca="false">IFERROR('Analysis Cross-tabs'!D7/'Analysis Cross-tabs'!F7,0)</f>
        <v>0</v>
      </c>
      <c r="E10" s="26" t="n">
        <f aca="false">IFERROR('Analysis Cross-tabs'!E7/'Analysis Cross-tabs'!F7,0)</f>
        <v>0</v>
      </c>
    </row>
    <row r="11" customFormat="false" ht="15" hidden="false" customHeight="false" outlineLevel="0" collapsed="false">
      <c r="A11" s="18" t="s">
        <v>601</v>
      </c>
      <c r="B11" s="26" t="n">
        <f aca="false">IFERROR('Analysis Cross-tabs'!B8/'Analysis Cross-tabs'!F8,0)</f>
        <v>0</v>
      </c>
      <c r="C11" s="26" t="n">
        <f aca="false">IFERROR('Analysis Cross-tabs'!C8/'Analysis Cross-tabs'!F8,0)</f>
        <v>0</v>
      </c>
      <c r="D11" s="26" t="n">
        <f aca="false">IFERROR('Analysis Cross-tabs'!D8/'Analysis Cross-tabs'!F8,0)</f>
        <v>0</v>
      </c>
      <c r="E11" s="26" t="n">
        <f aca="false">IFERROR('Analysis Cross-tabs'!E8/'Analysis Cross-tabs'!F8,0)</f>
        <v>0</v>
      </c>
    </row>
    <row r="12" customFormat="false" ht="15" hidden="false" customHeight="false" outlineLevel="0" collapsed="false">
      <c r="A12" s="18" t="s">
        <v>604</v>
      </c>
      <c r="B12" s="26" t="n">
        <f aca="false">IFERROR('Analysis Cross-tabs'!B9/'Analysis Cross-tabs'!F9,0)</f>
        <v>0</v>
      </c>
      <c r="C12" s="26" t="n">
        <f aca="false">IFERROR('Analysis Cross-tabs'!C9/'Analysis Cross-tabs'!F9,0)</f>
        <v>0</v>
      </c>
      <c r="D12" s="26" t="n">
        <f aca="false">IFERROR('Analysis Cross-tabs'!D9/'Analysis Cross-tabs'!F9,0)</f>
        <v>0</v>
      </c>
      <c r="E12" s="26" t="n">
        <f aca="false">IFERROR('Analysis Cross-tabs'!E9/'Analysis Cross-tabs'!F9,0)</f>
        <v>0</v>
      </c>
    </row>
    <row r="13" customFormat="false" ht="15" hidden="false" customHeight="false" outlineLevel="0" collapsed="false">
      <c r="A13" s="18" t="s">
        <v>607</v>
      </c>
      <c r="B13" s="26" t="n">
        <f aca="false">IFERROR('Analysis Cross-tabs'!B10/'Analysis Cross-tabs'!F10,0)</f>
        <v>0</v>
      </c>
      <c r="C13" s="26" t="n">
        <f aca="false">IFERROR('Analysis Cross-tabs'!C10/'Analysis Cross-tabs'!F10,0)</f>
        <v>0</v>
      </c>
      <c r="D13" s="26" t="n">
        <f aca="false">IFERROR('Analysis Cross-tabs'!D10/'Analysis Cross-tabs'!F10,0)</f>
        <v>0</v>
      </c>
      <c r="E13" s="26" t="n">
        <f aca="false">IFERROR('Analysis Cross-tabs'!E10/'Analysis Cross-tabs'!F10,0)</f>
        <v>0</v>
      </c>
    </row>
    <row r="14" customFormat="false" ht="15" hidden="false" customHeight="false" outlineLevel="0" collapsed="false">
      <c r="A14" s="18" t="s">
        <v>610</v>
      </c>
      <c r="B14" s="26" t="n">
        <f aca="false">IFERROR('Analysis Cross-tabs'!B11/'Analysis Cross-tabs'!F11,0)</f>
        <v>0</v>
      </c>
      <c r="C14" s="26" t="n">
        <f aca="false">IFERROR('Analysis Cross-tabs'!C11/'Analysis Cross-tabs'!F11,0)</f>
        <v>0</v>
      </c>
      <c r="D14" s="26" t="n">
        <f aca="false">IFERROR('Analysis Cross-tabs'!D11/'Analysis Cross-tabs'!F11,0)</f>
        <v>0</v>
      </c>
      <c r="E14" s="26" t="n">
        <f aca="false">IFERROR('Analysis Cross-tabs'!E11/'Analysis Cross-tabs'!F11,0)</f>
        <v>0</v>
      </c>
    </row>
    <row r="15" customFormat="false" ht="15" hidden="false" customHeight="false" outlineLevel="0" collapsed="false">
      <c r="A15" s="18" t="s">
        <v>613</v>
      </c>
      <c r="B15" s="26" t="n">
        <f aca="false">IFERROR('Analysis Cross-tabs'!B12/'Analysis Cross-tabs'!F12,0)</f>
        <v>0</v>
      </c>
      <c r="C15" s="26" t="n">
        <f aca="false">IFERROR('Analysis Cross-tabs'!C12/'Analysis Cross-tabs'!F12,0)</f>
        <v>0</v>
      </c>
      <c r="D15" s="26" t="n">
        <f aca="false">IFERROR('Analysis Cross-tabs'!D12/'Analysis Cross-tabs'!F12,0)</f>
        <v>0</v>
      </c>
      <c r="E15" s="26" t="n">
        <f aca="false">IFERROR('Analysis Cross-tabs'!E12/'Analysis Cross-tabs'!F12,0)</f>
        <v>0</v>
      </c>
    </row>
    <row r="16" customFormat="false" ht="15" hidden="false" customHeight="false" outlineLevel="0" collapsed="false">
      <c r="A16" s="18" t="s">
        <v>616</v>
      </c>
      <c r="B16" s="26" t="n">
        <f aca="false">IFERROR('Analysis Cross-tabs'!B13/'Analysis Cross-tabs'!F13,0)</f>
        <v>0</v>
      </c>
      <c r="C16" s="26" t="n">
        <f aca="false">IFERROR('Analysis Cross-tabs'!C13/'Analysis Cross-tabs'!F13,0)</f>
        <v>0</v>
      </c>
      <c r="D16" s="26" t="n">
        <f aca="false">IFERROR('Analysis Cross-tabs'!D13/'Analysis Cross-tabs'!F13,0)</f>
        <v>0</v>
      </c>
      <c r="E16" s="26" t="n">
        <f aca="false">IFERROR('Analysis Cross-tabs'!E13/'Analysis Cross-tabs'!F13,0)</f>
        <v>0</v>
      </c>
    </row>
    <row r="17" customFormat="false" ht="15" hidden="false" customHeight="false" outlineLevel="0" collapsed="false">
      <c r="A17" s="18" t="s">
        <v>619</v>
      </c>
      <c r="B17" s="26" t="n">
        <f aca="false">IFERROR('Analysis Cross-tabs'!B14/'Analysis Cross-tabs'!F14,0)</f>
        <v>0</v>
      </c>
      <c r="C17" s="26" t="n">
        <f aca="false">IFERROR('Analysis Cross-tabs'!C14/'Analysis Cross-tabs'!F14,0)</f>
        <v>0</v>
      </c>
      <c r="D17" s="26" t="n">
        <f aca="false">IFERROR('Analysis Cross-tabs'!D14/'Analysis Cross-tabs'!F14,0)</f>
        <v>0</v>
      </c>
      <c r="E17" s="26" t="n">
        <f aca="false">IFERROR('Analysis Cross-tabs'!E14/'Analysis Cross-tabs'!F14,0)</f>
        <v>0</v>
      </c>
    </row>
    <row r="18" customFormat="false" ht="15" hidden="false" customHeight="false" outlineLevel="0" collapsed="false">
      <c r="A18" s="18" t="s">
        <v>622</v>
      </c>
      <c r="B18" s="26" t="n">
        <f aca="false">IFERROR('Analysis Cross-tabs'!B15/'Analysis Cross-tabs'!F15,0)</f>
        <v>0</v>
      </c>
      <c r="C18" s="26" t="n">
        <f aca="false">IFERROR('Analysis Cross-tabs'!C15/'Analysis Cross-tabs'!F15,0)</f>
        <v>0</v>
      </c>
      <c r="D18" s="26" t="n">
        <f aca="false">IFERROR('Analysis Cross-tabs'!D15/'Analysis Cross-tabs'!F15,0)</f>
        <v>0</v>
      </c>
      <c r="E18" s="26" t="n">
        <f aca="false">IFERROR('Analysis Cross-tabs'!E15/'Analysis Cross-tabs'!F15,0)</f>
        <v>0</v>
      </c>
    </row>
    <row r="19" customFormat="false" ht="15" hidden="false" customHeight="false" outlineLevel="0" collapsed="false">
      <c r="A19" s="18" t="s">
        <v>625</v>
      </c>
      <c r="B19" s="26" t="n">
        <f aca="false">IFERROR('Analysis Cross-tabs'!B16/'Analysis Cross-tabs'!F16,0)</f>
        <v>0</v>
      </c>
      <c r="C19" s="26" t="n">
        <f aca="false">IFERROR('Analysis Cross-tabs'!C16/'Analysis Cross-tabs'!F16,0)</f>
        <v>0</v>
      </c>
      <c r="D19" s="26" t="n">
        <f aca="false">IFERROR('Analysis Cross-tabs'!D16/'Analysis Cross-tabs'!F16,0)</f>
        <v>0</v>
      </c>
      <c r="E19" s="26" t="n">
        <f aca="false">IFERROR('Analysis Cross-tabs'!E16/'Analysis Cross-tabs'!F16,0)</f>
        <v>0</v>
      </c>
    </row>
    <row r="20" customFormat="false" ht="15" hidden="false" customHeight="false" outlineLevel="0" collapsed="false">
      <c r="A20" s="18" t="s">
        <v>628</v>
      </c>
      <c r="B20" s="26" t="n">
        <f aca="false">IFERROR('Analysis Cross-tabs'!B17/'Analysis Cross-tabs'!F17,0)</f>
        <v>0</v>
      </c>
      <c r="C20" s="26" t="n">
        <f aca="false">IFERROR('Analysis Cross-tabs'!C17/'Analysis Cross-tabs'!F17,0)</f>
        <v>0</v>
      </c>
      <c r="D20" s="26" t="n">
        <f aca="false">IFERROR('Analysis Cross-tabs'!D17/'Analysis Cross-tabs'!F17,0)</f>
        <v>0</v>
      </c>
      <c r="E20" s="26" t="n">
        <f aca="false">IFERROR('Analysis Cross-tabs'!E17/'Analysis Cross-tabs'!F17,0)</f>
        <v>0</v>
      </c>
    </row>
    <row r="21" customFormat="false" ht="15" hidden="false" customHeight="false" outlineLevel="0" collapsed="false">
      <c r="A21" s="18" t="s">
        <v>631</v>
      </c>
      <c r="B21" s="26" t="n">
        <f aca="false">IFERROR('Analysis Cross-tabs'!B18/'Analysis Cross-tabs'!F18,0)</f>
        <v>0</v>
      </c>
      <c r="C21" s="26" t="n">
        <f aca="false">IFERROR('Analysis Cross-tabs'!C18/'Analysis Cross-tabs'!F18,0)</f>
        <v>0</v>
      </c>
      <c r="D21" s="26" t="n">
        <f aca="false">IFERROR('Analysis Cross-tabs'!D18/'Analysis Cross-tabs'!F18,0)</f>
        <v>0</v>
      </c>
      <c r="E21" s="26" t="n">
        <f aca="false">IFERROR('Analysis Cross-tabs'!E18/'Analysis Cross-tabs'!F18,0)</f>
        <v>0</v>
      </c>
    </row>
    <row r="22" customFormat="false" ht="15" hidden="false" customHeight="false" outlineLevel="0" collapsed="false">
      <c r="A22" s="18" t="s">
        <v>634</v>
      </c>
      <c r="B22" s="26" t="n">
        <f aca="false">IFERROR('Analysis Cross-tabs'!B19/'Analysis Cross-tabs'!F19,0)</f>
        <v>0</v>
      </c>
      <c r="C22" s="26" t="n">
        <f aca="false">IFERROR('Analysis Cross-tabs'!C19/'Analysis Cross-tabs'!F19,0)</f>
        <v>0</v>
      </c>
      <c r="D22" s="26" t="n">
        <f aca="false">IFERROR('Analysis Cross-tabs'!D19/'Analysis Cross-tabs'!F19,0)</f>
        <v>0</v>
      </c>
      <c r="E22" s="26" t="n">
        <f aca="false">IFERROR('Analysis Cross-tabs'!E19/'Analysis Cross-tabs'!F19,0)</f>
        <v>0</v>
      </c>
    </row>
    <row r="23" customFormat="false" ht="15" hidden="false" customHeight="false" outlineLevel="0" collapsed="false">
      <c r="A23" s="18" t="s">
        <v>637</v>
      </c>
      <c r="B23" s="26" t="n">
        <f aca="false">IFERROR('Analysis Cross-tabs'!B20/'Analysis Cross-tabs'!F20,0)</f>
        <v>0</v>
      </c>
      <c r="C23" s="26" t="n">
        <f aca="false">IFERROR('Analysis Cross-tabs'!C20/'Analysis Cross-tabs'!F20,0)</f>
        <v>0</v>
      </c>
      <c r="D23" s="26" t="n">
        <f aca="false">IFERROR('Analysis Cross-tabs'!D20/'Analysis Cross-tabs'!F20,0)</f>
        <v>0</v>
      </c>
      <c r="E23" s="26" t="n">
        <f aca="false">IFERROR('Analysis Cross-tabs'!E20/'Analysis Cross-tabs'!F20,0)</f>
        <v>0</v>
      </c>
    </row>
    <row r="24" customFormat="false" ht="15" hidden="false" customHeight="false" outlineLevel="0" collapsed="false">
      <c r="A24" s="18" t="s">
        <v>640</v>
      </c>
      <c r="B24" s="26" t="n">
        <f aca="false">IFERROR('Analysis Cross-tabs'!B21/'Analysis Cross-tabs'!F21,0)</f>
        <v>0</v>
      </c>
      <c r="C24" s="26" t="n">
        <f aca="false">IFERROR('Analysis Cross-tabs'!C21/'Analysis Cross-tabs'!F21,0)</f>
        <v>0</v>
      </c>
      <c r="D24" s="26" t="n">
        <f aca="false">IFERROR('Analysis Cross-tabs'!D21/'Analysis Cross-tabs'!F21,0)</f>
        <v>0</v>
      </c>
      <c r="E24" s="26" t="n">
        <f aca="false">IFERROR('Analysis Cross-tabs'!E21/'Analysis Cross-tabs'!F21,0)</f>
        <v>0</v>
      </c>
    </row>
    <row r="25" customFormat="false" ht="15" hidden="false" customHeight="false" outlineLevel="0" collapsed="false">
      <c r="A25" s="18" t="s">
        <v>643</v>
      </c>
      <c r="B25" s="26" t="n">
        <f aca="false">IFERROR('Analysis Cross-tabs'!B22/'Analysis Cross-tabs'!F22,0)</f>
        <v>0</v>
      </c>
      <c r="C25" s="26" t="n">
        <f aca="false">IFERROR('Analysis Cross-tabs'!C22/'Analysis Cross-tabs'!F22,0)</f>
        <v>0</v>
      </c>
      <c r="D25" s="26" t="n">
        <f aca="false">IFERROR('Analysis Cross-tabs'!D22/'Analysis Cross-tabs'!F22,0)</f>
        <v>0</v>
      </c>
      <c r="E25" s="26" t="n">
        <f aca="false">IFERROR('Analysis Cross-tabs'!E22/'Analysis Cross-tabs'!F22,0)</f>
        <v>0</v>
      </c>
    </row>
    <row r="26" customFormat="false" ht="15" hidden="false" customHeight="false" outlineLevel="0" collapsed="false">
      <c r="A26" s="18" t="s">
        <v>646</v>
      </c>
      <c r="B26" s="26" t="n">
        <f aca="false">IFERROR('Analysis Cross-tabs'!B23/'Analysis Cross-tabs'!F23,0)</f>
        <v>0</v>
      </c>
      <c r="C26" s="26" t="n">
        <f aca="false">IFERROR('Analysis Cross-tabs'!C23/'Analysis Cross-tabs'!F23,0)</f>
        <v>0</v>
      </c>
      <c r="D26" s="26" t="n">
        <f aca="false">IFERROR('Analysis Cross-tabs'!D23/'Analysis Cross-tabs'!F23,0)</f>
        <v>0</v>
      </c>
      <c r="E26" s="26" t="n">
        <f aca="false">IFERROR('Analysis Cross-tabs'!E23/'Analysis Cross-tabs'!F23,0)</f>
        <v>0</v>
      </c>
    </row>
    <row r="27" customFormat="false" ht="15" hidden="false" customHeight="false" outlineLevel="0" collapsed="false">
      <c r="A27" s="18" t="s">
        <v>649</v>
      </c>
      <c r="B27" s="26" t="n">
        <f aca="false">IFERROR('Analysis Cross-tabs'!B24/'Analysis Cross-tabs'!F24,0)</f>
        <v>0</v>
      </c>
      <c r="C27" s="26" t="n">
        <f aca="false">IFERROR('Analysis Cross-tabs'!C24/'Analysis Cross-tabs'!F24,0)</f>
        <v>0</v>
      </c>
      <c r="D27" s="26" t="n">
        <f aca="false">IFERROR('Analysis Cross-tabs'!D24/'Analysis Cross-tabs'!F24,0)</f>
        <v>0</v>
      </c>
      <c r="E27" s="26" t="n">
        <f aca="false">IFERROR('Analysis Cross-tabs'!E24/'Analysis Cross-tabs'!F24,0)</f>
        <v>0</v>
      </c>
    </row>
    <row r="28" customFormat="false" ht="15" hidden="false" customHeight="false" outlineLevel="0" collapsed="false">
      <c r="A28" s="18" t="s">
        <v>652</v>
      </c>
      <c r="B28" s="26" t="n">
        <f aca="false">IFERROR('Analysis Cross-tabs'!B25/'Analysis Cross-tabs'!F25,0)</f>
        <v>0</v>
      </c>
      <c r="C28" s="26" t="n">
        <f aca="false">IFERROR('Analysis Cross-tabs'!C25/'Analysis Cross-tabs'!F25,0)</f>
        <v>0</v>
      </c>
      <c r="D28" s="26" t="n">
        <f aca="false">IFERROR('Analysis Cross-tabs'!D25/'Analysis Cross-tabs'!F25,0)</f>
        <v>0</v>
      </c>
      <c r="E28" s="26" t="n">
        <f aca="false">IFERROR('Analysis Cross-tabs'!E25/'Analysis Cross-tabs'!F25,0)</f>
        <v>0</v>
      </c>
    </row>
  </sheetData>
  <conditionalFormatting sqref="E9:E28">
    <cfRule type="cellIs" priority="2" operator="greaterThan" aboveAverage="0" equalAverage="0" bottom="0" percent="0" rank="0" text="" dxfId="0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6" t="s">
        <v>720</v>
      </c>
    </row>
    <row r="3" customFormat="false" ht="15" hidden="false" customHeight="false" outlineLevel="0" collapsed="false">
      <c r="A3" s="27" t="s">
        <v>721</v>
      </c>
      <c r="B3" s="18" t="s">
        <v>0</v>
      </c>
    </row>
    <row r="4" customFormat="false" ht="15" hidden="false" customHeight="false" outlineLevel="0" collapsed="false">
      <c r="A4" s="27" t="s">
        <v>2</v>
      </c>
      <c r="B4" s="18" t="s">
        <v>722</v>
      </c>
    </row>
    <row r="5" customFormat="false" ht="15" hidden="false" customHeight="false" outlineLevel="0" collapsed="false">
      <c r="A5" s="27" t="s">
        <v>656</v>
      </c>
      <c r="B5" s="18" t="n">
        <v>200</v>
      </c>
    </row>
    <row r="6" customFormat="false" ht="15" hidden="false" customHeight="false" outlineLevel="0" collapsed="false">
      <c r="A6" s="27" t="s">
        <v>723</v>
      </c>
      <c r="B6" s="18" t="n">
        <v>20</v>
      </c>
    </row>
    <row r="7" customFormat="false" ht="15" hidden="false" customHeight="false" outlineLevel="0" collapsed="false">
      <c r="A7" s="27" t="s">
        <v>724</v>
      </c>
      <c r="B7" s="18" t="n">
        <v>10</v>
      </c>
    </row>
    <row r="8" customFormat="false" ht="15" hidden="false" customHeight="false" outlineLevel="0" collapsed="false">
      <c r="A8" s="27" t="s">
        <v>725</v>
      </c>
      <c r="B8" s="18" t="s">
        <v>678</v>
      </c>
    </row>
    <row r="9" customFormat="false" ht="15" hidden="false" customHeight="false" outlineLevel="0" collapsed="false">
      <c r="A9" s="27" t="s">
        <v>726</v>
      </c>
      <c r="B9" s="18" t="s">
        <v>727</v>
      </c>
    </row>
    <row r="10" customFormat="false" ht="15" hidden="false" customHeight="false" outlineLevel="0" collapsed="false">
      <c r="A10" s="27" t="s">
        <v>728</v>
      </c>
      <c r="B10" s="18" t="s">
        <v>729</v>
      </c>
    </row>
    <row r="11" customFormat="false" ht="15" hidden="false" customHeight="false" outlineLevel="0" collapsed="false">
      <c r="A11" s="27" t="s">
        <v>730</v>
      </c>
      <c r="B11" s="18" t="s">
        <v>731</v>
      </c>
    </row>
    <row r="12" customFormat="false" ht="15" hidden="false" customHeight="false" outlineLevel="0" collapsed="false">
      <c r="A12" s="27" t="s">
        <v>732</v>
      </c>
      <c r="B12" s="18" t="s">
        <v>733</v>
      </c>
    </row>
    <row r="13" customFormat="false" ht="15" hidden="false" customHeight="false" outlineLevel="0" collapsed="false">
      <c r="A13" s="27" t="s">
        <v>734</v>
      </c>
      <c r="B13" s="18" t="s">
        <v>735</v>
      </c>
    </row>
    <row r="14" customFormat="false" ht="15" hidden="false" customHeight="false" outlineLevel="0" collapsed="false">
      <c r="A14" s="27" t="s">
        <v>736</v>
      </c>
      <c r="B14" s="18" t="s">
        <v>737</v>
      </c>
    </row>
    <row r="15" customFormat="false" ht="15" hidden="false" customHeight="false" outlineLevel="0" collapsed="false">
      <c r="A15" s="27" t="s">
        <v>738</v>
      </c>
      <c r="B15" s="18" t="s">
        <v>739</v>
      </c>
    </row>
    <row r="16" customFormat="false" ht="15" hidden="false" customHeight="false" outlineLevel="0" collapsed="false">
      <c r="A16" s="27" t="s">
        <v>740</v>
      </c>
      <c r="B16" s="18" t="s">
        <v>741</v>
      </c>
    </row>
    <row r="17" customFormat="false" ht="15" hidden="false" customHeight="false" outlineLevel="0" collapsed="false">
      <c r="A17" s="27" t="s">
        <v>742</v>
      </c>
      <c r="B17" s="18" t="s">
        <v>743</v>
      </c>
    </row>
    <row r="18" customFormat="false" ht="15" hidden="false" customHeight="false" outlineLevel="0" collapsed="false">
      <c r="A18" s="27" t="s">
        <v>744</v>
      </c>
      <c r="B18" s="18" t="s">
        <v>745</v>
      </c>
    </row>
    <row r="19" customFormat="false" ht="15" hidden="false" customHeight="false" outlineLevel="0" collapsed="false">
      <c r="A19" s="27" t="s">
        <v>746</v>
      </c>
      <c r="B19" s="18" t="s">
        <v>747</v>
      </c>
    </row>
    <row r="20" customFormat="false" ht="15" hidden="false" customHeight="false" outlineLevel="0" collapsed="false">
      <c r="A20" s="27" t="s">
        <v>748</v>
      </c>
      <c r="B20" s="18" t="s">
        <v>749</v>
      </c>
    </row>
    <row r="21" customFormat="false" ht="15" hidden="false" customHeight="false" outlineLevel="0" collapsed="false">
      <c r="A21" s="27" t="s">
        <v>750</v>
      </c>
      <c r="B21" s="18" t="n">
        <v>10000</v>
      </c>
    </row>
    <row r="22" customFormat="false" ht="15" hidden="false" customHeight="false" outlineLevel="0" collapsed="false">
      <c r="A22" s="27" t="s">
        <v>751</v>
      </c>
      <c r="B22" s="18" t="n">
        <v>42</v>
      </c>
    </row>
    <row r="23" customFormat="false" ht="15" hidden="false" customHeight="false" outlineLevel="0" collapsed="false">
      <c r="A23" s="27" t="s">
        <v>752</v>
      </c>
      <c r="B23" s="18" t="s">
        <v>753</v>
      </c>
    </row>
    <row r="24" customFormat="false" ht="15" hidden="false" customHeight="false" outlineLevel="0" collapsed="false">
      <c r="A24" s="27" t="s">
        <v>754</v>
      </c>
      <c r="B24" s="18" t="s">
        <v>755</v>
      </c>
    </row>
    <row r="25" customFormat="false" ht="15" hidden="false" customHeight="false" outlineLevel="0" collapsed="false">
      <c r="A25" s="27" t="s">
        <v>756</v>
      </c>
      <c r="B25" s="18" t="s">
        <v>757</v>
      </c>
    </row>
    <row r="26" customFormat="false" ht="15" hidden="false" customHeight="false" outlineLevel="0" collapsed="false">
      <c r="A26" s="27" t="s">
        <v>758</v>
      </c>
      <c r="B26" s="18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2026-05-11T15:42:09Z</dcterms:created>
  <dc:creator>openpyxl</dc:creator>
  <dc:description/>
  <dc:language>en-US</dc:language>
  <cp:lastModifiedBy/>
  <dcterms:modified xsi:type="dcterms:W3CDTF">2026-05-11T15:42:09Z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